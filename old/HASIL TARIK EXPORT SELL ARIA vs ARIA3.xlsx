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8960" windowHeight="8520"/>
  </bookViews>
  <sheets>
    <sheet name="Sheet2" sheetId="1" r:id="rId1"/>
  </sheets>
  <definedNames>
    <definedName name="sell_item_OFF_01_07_JUNI" localSheetId="0">Sheet2!#REF!</definedName>
    <definedName name="sell_item_OFF_01_JULI" localSheetId="0">Sheet2!#REF!</definedName>
    <definedName name="sell_item_OFF_01_JUNI" localSheetId="0">Sheet2!#REF!</definedName>
    <definedName name="sell_item_OFF_02_04_JULI" localSheetId="0">Sheet2!#REF!</definedName>
    <definedName name="sell_item_OFF_02_JUNI" localSheetId="0">Sheet2!#REF!</definedName>
    <definedName name="sell_item_OFF_05_JULI" localSheetId="0">Sheet2!#REF!</definedName>
    <definedName name="sell_item_OFF_06_JULI" localSheetId="0">Sheet2!#REF!</definedName>
    <definedName name="sell_item_OFF_07_JULI" localSheetId="0">Sheet2!#REF!</definedName>
    <definedName name="sell_item_OFF_08_11_JUNI" localSheetId="0">Sheet2!#REF!</definedName>
    <definedName name="sell_item_OFF_08_JULI" localSheetId="0">Sheet2!#REF!</definedName>
    <definedName name="sell_item_OFF_09_JULI" localSheetId="0">Sheet2!#REF!</definedName>
    <definedName name="sell_item_OFF_1__2_AGST" localSheetId="0">Sheet2!#REF!</definedName>
    <definedName name="sell_item_OFF_1_4_APR_26" localSheetId="0">Sheet2!#REF!</definedName>
    <definedName name="sell_item_OFF_1_5_MEI" localSheetId="0">Sheet2!#REF!</definedName>
    <definedName name="sell_item_OFF_1_MAR_26" localSheetId="0">Sheet2!#REF!</definedName>
    <definedName name="sell_item_OFF_10_12_JULI" localSheetId="0">Sheet2!#REF!</definedName>
    <definedName name="sell_item_OFF_10_12_MAR_26" localSheetId="0">Sheet2!#REF!</definedName>
    <definedName name="sell_item_OFF_10_AGST" localSheetId="0">Sheet2!#REF!</definedName>
    <definedName name="sell_item_OFF_10_APR_26" localSheetId="0">Sheet2!#REF!</definedName>
    <definedName name="sell_item_OFF_11_AGST" localSheetId="0">Sheet2!#REF!</definedName>
    <definedName name="sell_item_OFF_11_APR_26" localSheetId="0">Sheet2!#REF!</definedName>
    <definedName name="sell_item_OFF_12_15_JUNI" localSheetId="0">Sheet2!#REF!</definedName>
    <definedName name="sell_item_OFF_12_AGST" localSheetId="0">Sheet2!#REF!</definedName>
    <definedName name="sell_item_OFF_12_APR_26" localSheetId="0">Sheet2!#REF!</definedName>
    <definedName name="sell_item_OFF_12_MAR_26__REV" localSheetId="0">Sheet2!#REF!</definedName>
    <definedName name="sell_item_OFF_12_MEI" localSheetId="0">Sheet2!#REF!</definedName>
    <definedName name="sell_item_OFF_13_17_APR_26" localSheetId="0">Sheet2!#REF!</definedName>
    <definedName name="sell_item_OFF_13_17_MEI" localSheetId="0">Sheet2!#REF!</definedName>
    <definedName name="sell_item_OFF_13_AGST" localSheetId="0">Sheet2!#REF!</definedName>
    <definedName name="sell_item_OFF_13_JULI" localSheetId="0">Sheet2!#REF!</definedName>
    <definedName name="sell_item_OFF_13_MAR_26" localSheetId="0">Sheet2!#REF!</definedName>
    <definedName name="sell_item_OFF_14_16_MAR_26" localSheetId="0">Sheet2!#REF!</definedName>
    <definedName name="sell_item_OFF_14_AGST" localSheetId="0">Sheet2!#REF!</definedName>
    <definedName name="sell_item_OFF_14_JULI" localSheetId="0">Sheet2!#REF!</definedName>
    <definedName name="sell_item_OFF_15_AGST" localSheetId="0">Sheet2!#REF!</definedName>
    <definedName name="sell_item_OFF_15_JULI" localSheetId="0">Sheet2!#REF!</definedName>
    <definedName name="sell_item_OFF_16_AGST" localSheetId="0">Sheet2!#REF!</definedName>
    <definedName name="sell_item_OFF_16_JULI" localSheetId="0">Sheet2!#REF!</definedName>
    <definedName name="sell_item_OFF_16_JULI_1" localSheetId="0">Sheet2!#REF!</definedName>
    <definedName name="sell_item_OFF_16_JUNI" localSheetId="0">Sheet2!#REF!</definedName>
    <definedName name="sell_item_OFF_17_19_JUNI" localSheetId="0">Sheet2!#REF!</definedName>
    <definedName name="sell_item_OFF_17_22_MAR_26" localSheetId="0">Sheet2!#REF!</definedName>
    <definedName name="sell_item_OFF_17_AGST" localSheetId="0">Sheet2!#REF!</definedName>
    <definedName name="sell_item_OFF_17_AGST__610089" localSheetId="0">Sheet2!#REF!</definedName>
    <definedName name="sell_item_OFF_17_JULI" localSheetId="0">Sheet2!#REF!</definedName>
    <definedName name="sell_item_OFF_18_19_JULI" localSheetId="0">Sheet2!#REF!</definedName>
    <definedName name="sell_item_OFF_18_AGST" localSheetId="0">Sheet2!#REF!</definedName>
    <definedName name="sell_item_OFF_18_APR_26" localSheetId="0">Sheet2!#REF!</definedName>
    <definedName name="sell_item_OFF_18_MEI" localSheetId="0">Sheet2!#REF!</definedName>
    <definedName name="sell_item_OFF_19_21_AGST" localSheetId="0">Sheet2!#REF!</definedName>
    <definedName name="sell_item_OFF_19_23_MEI" localSheetId="0">Sheet2!#REF!</definedName>
    <definedName name="sell_item_OFF_19_APR_26" localSheetId="0">Sheet2!#REF!</definedName>
    <definedName name="sell_item_OFF_19_APR_26_1" localSheetId="0">Sheet2!#REF!</definedName>
    <definedName name="sell_item_OFF_2_3_MAR_26" localSheetId="0">Sheet2!#REF!</definedName>
    <definedName name="sell_item_OFF_20_21_JUNI" localSheetId="0">Sheet2!#REF!</definedName>
    <definedName name="sell_item_OFF_20_23_APR_26" localSheetId="0">Sheet2!#REF!</definedName>
    <definedName name="sell_item_OFF_20_JULI" localSheetId="0">Sheet2!#REF!</definedName>
    <definedName name="sell_item_OFF_21_JULI__596078" localSheetId="0">Sheet2!#REF!</definedName>
    <definedName name="sell_item_OFF_22_23_JUNI" localSheetId="0">Sheet2!#REF!</definedName>
    <definedName name="sell_item_OFF_22_AGST" localSheetId="0">Sheet2!#REF!</definedName>
    <definedName name="sell_item_OFF_22_JULI" localSheetId="0">Sheet2!#REF!</definedName>
    <definedName name="sell_item_OFF_22_JUNI" localSheetId="0">Sheet2!#REF!</definedName>
    <definedName name="sell_item_OFF_23_24_JULI" localSheetId="0">Sheet2!#REF!</definedName>
    <definedName name="sell_item_OFF_23_24_MAR_26" localSheetId="0">Sheet2!#REF!</definedName>
    <definedName name="sell_item_OFF_23_AGST" localSheetId="0">Sheet2!#REF!</definedName>
    <definedName name="sell_item_OFF_24_AGST" localSheetId="0">Sheet2!#REF!</definedName>
    <definedName name="sell_item_OFF_24_APR_26" localSheetId="0">Sheet2!#REF!</definedName>
    <definedName name="sell_item_OFF_24_MEI" localSheetId="0">Sheet2!#REF!</definedName>
    <definedName name="sell_item_OFF_25__27_MEI" localSheetId="0">Sheet2!#REF!</definedName>
    <definedName name="sell_item_OFF_25_26_551346_1800_APR_26" localSheetId="0">Sheet2!#REF!</definedName>
    <definedName name="sell_item_OFF_25_28_JUNI" localSheetId="0">Sheet2!#REF!</definedName>
    <definedName name="sell_item_OFF_25_AGST" localSheetId="0">Sheet2!#REF!</definedName>
    <definedName name="sell_item_OFF_25_AGST_4363" localSheetId="0">Sheet2!$A$2:$N$20</definedName>
    <definedName name="sell_item_OFF_25_JULI" localSheetId="0">Sheet2!#REF!</definedName>
    <definedName name="sell_item_OFF_25_MAR_26" localSheetId="0">Sheet2!#REF!</definedName>
    <definedName name="sell_item_OFF_25_MEI___565241" localSheetId="0">Sheet2!#REF!</definedName>
    <definedName name="sell_item_OFF_26_APR_26" localSheetId="0">Sheet2!#REF!</definedName>
    <definedName name="sell_item_OFF_26_JULI" localSheetId="0">Sheet2!#REF!</definedName>
    <definedName name="sell_item_OFF_26_MAR_26" localSheetId="0">Sheet2!#REF!</definedName>
    <definedName name="sell_item_OFF_27_APR_26" localSheetId="0">Sheet2!#REF!</definedName>
    <definedName name="sell_item_OFF_27_JULI" localSheetId="0">Sheet2!#REF!</definedName>
    <definedName name="sell_item_OFF_27_MAR_26" localSheetId="0">Sheet2!#REF!</definedName>
    <definedName name="sell_item_OFF_28_29_JULI" localSheetId="0">Sheet2!#REF!</definedName>
    <definedName name="sell_item_OFF_28_29_MAR_26" localSheetId="0">Sheet2!#REF!</definedName>
    <definedName name="sell_item_OFF_28_30_APR_26" localSheetId="0">Sheet2!#REF!</definedName>
    <definedName name="sell_item_OFF_28MEI" localSheetId="0">Sheet2!#REF!</definedName>
    <definedName name="sell_item_OFF_29_JUNI" localSheetId="0">Sheet2!#REF!</definedName>
    <definedName name="sell_item_OFF_29MEI" localSheetId="0">Sheet2!#REF!</definedName>
    <definedName name="sell_item_OFF_3_AGST" localSheetId="0">Sheet2!#REF!</definedName>
    <definedName name="sell_item_OFF_30__31_MEI" localSheetId="0">Sheet2!#REF!</definedName>
    <definedName name="sell_item_OFF_30_JULI" localSheetId="0">Sheet2!#REF!</definedName>
    <definedName name="sell_item_OFF_30_JUNI" localSheetId="0">Sheet2!#REF!</definedName>
    <definedName name="sell_item_OFF_30_MAR_26" localSheetId="0">Sheet2!#REF!</definedName>
    <definedName name="sell_item_OFF_31_JULI" localSheetId="0">Sheet2!#REF!</definedName>
    <definedName name="sell_item_OFF_31_MAR_26" localSheetId="0">Sheet2!#REF!</definedName>
    <definedName name="sell_item_OFF_4__5_AGST" localSheetId="0">Sheet2!#REF!</definedName>
    <definedName name="sell_item_OFF_4_5_MAR_26" localSheetId="0">Sheet2!#REF!</definedName>
    <definedName name="sell_item_OFF_5_APR_26" localSheetId="0">Sheet2!#REF!</definedName>
    <definedName name="sell_item_OFF_6_9_APR_26" localSheetId="0">Sheet2!#REF!</definedName>
    <definedName name="sell_item_OFF_6_AGST" localSheetId="0">Sheet2!#REF!</definedName>
    <definedName name="sell_item_OFF_6_MAR_26" localSheetId="0">Sheet2!#REF!</definedName>
    <definedName name="sell_item_OFF_6_MEI___556565" localSheetId="0">Sheet2!#REF!</definedName>
    <definedName name="sell_item_OFF_7_8_AGST" localSheetId="0">Sheet2!#REF!</definedName>
    <definedName name="sell_item_OFF_7_8_MEI" localSheetId="0">Sheet2!#REF!</definedName>
    <definedName name="sell_item_OFF_7_9_MAR_26" localSheetId="0">Sheet2!#REF!</definedName>
    <definedName name="sell_item_OFF_9_11_MEI" localSheetId="0">Sheet2!#REF!</definedName>
    <definedName name="sell_item_OFF_9_AGST" localSheetId="0">Sheet2!#REF!</definedName>
    <definedName name="sell_item_Pusat_26.04" localSheetId="0">Sheet2!#REF!</definedName>
  </definedNames>
  <calcPr calcId="124519"/>
</workbook>
</file>

<file path=xl/calcChain.xml><?xml version="1.0" encoding="utf-8"?>
<calcChain xmlns="http://schemas.openxmlformats.org/spreadsheetml/2006/main">
  <c r="J92" i="1"/>
  <c r="H92"/>
  <c r="S91"/>
  <c r="R91" s="1"/>
  <c r="P91"/>
  <c r="O91"/>
  <c r="S90"/>
  <c r="R90"/>
  <c r="P90"/>
  <c r="O90"/>
  <c r="S89"/>
  <c r="R89"/>
  <c r="P89"/>
  <c r="O89"/>
  <c r="S88"/>
  <c r="R88"/>
  <c r="P88"/>
  <c r="O88"/>
  <c r="S87"/>
  <c r="R87"/>
  <c r="P87"/>
  <c r="O87"/>
  <c r="S86"/>
  <c r="R86"/>
  <c r="O86"/>
  <c r="S85"/>
  <c r="R85"/>
  <c r="O85"/>
  <c r="S84"/>
  <c r="R84" s="1"/>
  <c r="O84"/>
  <c r="S83"/>
  <c r="R83"/>
  <c r="O83"/>
  <c r="S82"/>
  <c r="R82" s="1"/>
  <c r="O82"/>
  <c r="S81"/>
  <c r="R81" s="1"/>
  <c r="O81"/>
  <c r="S80"/>
  <c r="R80" s="1"/>
  <c r="O80"/>
  <c r="S79"/>
  <c r="R79"/>
  <c r="O79"/>
  <c r="S78"/>
  <c r="R78" s="1"/>
  <c r="O78"/>
  <c r="S77"/>
  <c r="R77"/>
  <c r="O77"/>
  <c r="S76"/>
  <c r="R76" s="1"/>
  <c r="O76"/>
  <c r="S75"/>
  <c r="R75"/>
  <c r="O75"/>
  <c r="S74"/>
  <c r="R74" s="1"/>
  <c r="O74"/>
  <c r="S73"/>
  <c r="R73"/>
  <c r="O73"/>
  <c r="S72"/>
  <c r="R72" s="1"/>
  <c r="O72"/>
  <c r="S71"/>
  <c r="R71"/>
  <c r="O71"/>
  <c r="S70"/>
  <c r="R70" s="1"/>
  <c r="O70"/>
  <c r="S69"/>
  <c r="R69"/>
  <c r="O69"/>
  <c r="S68"/>
  <c r="R68" s="1"/>
  <c r="O68"/>
  <c r="S67"/>
  <c r="R67"/>
  <c r="O67"/>
  <c r="S66"/>
  <c r="R66" s="1"/>
  <c r="O66"/>
  <c r="S65"/>
  <c r="R65"/>
  <c r="O65"/>
  <c r="S64"/>
  <c r="R64" s="1"/>
  <c r="O64"/>
  <c r="S63"/>
  <c r="R63"/>
  <c r="O63"/>
  <c r="S62"/>
  <c r="R62" s="1"/>
  <c r="O62"/>
  <c r="J60"/>
  <c r="H60"/>
  <c r="S59"/>
  <c r="R59"/>
  <c r="P59"/>
  <c r="O59"/>
  <c r="S58"/>
  <c r="R58"/>
  <c r="P58"/>
  <c r="O58"/>
  <c r="S57"/>
  <c r="R57"/>
  <c r="P57"/>
  <c r="O57"/>
  <c r="S56"/>
  <c r="R56"/>
  <c r="P56"/>
  <c r="O56"/>
  <c r="S55"/>
  <c r="R55"/>
  <c r="P55"/>
  <c r="O55"/>
  <c r="S54"/>
  <c r="R54"/>
  <c r="P54"/>
  <c r="O54"/>
  <c r="S53"/>
  <c r="R53"/>
  <c r="P53"/>
  <c r="O53"/>
  <c r="S52"/>
  <c r="R52"/>
  <c r="O52"/>
  <c r="S51"/>
  <c r="R51" s="1"/>
  <c r="O51"/>
  <c r="S50"/>
  <c r="R50" s="1"/>
  <c r="O50"/>
  <c r="S49"/>
  <c r="R49" s="1"/>
  <c r="O49"/>
  <c r="S48"/>
  <c r="R48"/>
  <c r="O48"/>
  <c r="S47"/>
  <c r="R47" s="1"/>
  <c r="O47"/>
  <c r="S46"/>
  <c r="R46"/>
  <c r="O46"/>
  <c r="S45"/>
  <c r="R45" s="1"/>
  <c r="O45"/>
  <c r="S44"/>
  <c r="R44"/>
  <c r="O44"/>
  <c r="S43"/>
  <c r="R43" s="1"/>
  <c r="O43"/>
  <c r="S42"/>
  <c r="R42"/>
  <c r="O42"/>
  <c r="S41"/>
  <c r="R41" s="1"/>
  <c r="O41"/>
  <c r="S40"/>
  <c r="R40"/>
  <c r="O40"/>
  <c r="S39"/>
  <c r="R39" s="1"/>
  <c r="O39"/>
  <c r="S38"/>
  <c r="R38"/>
  <c r="O38"/>
  <c r="S37"/>
  <c r="R37" s="1"/>
  <c r="O37"/>
  <c r="S36"/>
  <c r="R36"/>
  <c r="O36"/>
  <c r="S35"/>
  <c r="R35" s="1"/>
  <c r="O35"/>
  <c r="S34"/>
  <c r="R34"/>
  <c r="O34"/>
  <c r="S33"/>
  <c r="R33" s="1"/>
  <c r="O33"/>
  <c r="M31"/>
  <c r="J31"/>
  <c r="H31"/>
  <c r="S30"/>
  <c r="R30"/>
  <c r="P30"/>
  <c r="O30"/>
  <c r="S29"/>
  <c r="R29"/>
  <c r="P29"/>
  <c r="O29"/>
  <c r="S28"/>
  <c r="R28"/>
  <c r="P28"/>
  <c r="O28"/>
  <c r="S27"/>
  <c r="R27"/>
  <c r="P27"/>
  <c r="O27"/>
  <c r="S26"/>
  <c r="R26"/>
  <c r="P26"/>
  <c r="O26"/>
  <c r="S25"/>
  <c r="R25"/>
  <c r="P25"/>
  <c r="O25"/>
  <c r="S24"/>
  <c r="R24"/>
  <c r="P24"/>
  <c r="O24"/>
  <c r="S23"/>
  <c r="R23"/>
  <c r="P23"/>
  <c r="O23"/>
  <c r="S22"/>
  <c r="R22"/>
  <c r="P22"/>
  <c r="P31" s="1"/>
  <c r="O22"/>
  <c r="S21"/>
  <c r="R21"/>
  <c r="O21"/>
  <c r="S20"/>
  <c r="R20" s="1"/>
  <c r="O20"/>
  <c r="S19"/>
  <c r="R19"/>
  <c r="O19"/>
  <c r="S18"/>
  <c r="R18" s="1"/>
  <c r="O18"/>
  <c r="S17"/>
  <c r="R17"/>
  <c r="O17"/>
  <c r="S16"/>
  <c r="R16" s="1"/>
  <c r="O16"/>
  <c r="S15"/>
  <c r="R15"/>
  <c r="O15"/>
  <c r="S14"/>
  <c r="R14" s="1"/>
  <c r="O14"/>
  <c r="S13"/>
  <c r="R13"/>
  <c r="O13"/>
  <c r="S12"/>
  <c r="R12" s="1"/>
  <c r="O12"/>
  <c r="S11"/>
  <c r="R11"/>
  <c r="O11"/>
  <c r="S10"/>
  <c r="R10" s="1"/>
  <c r="O10"/>
  <c r="S9"/>
  <c r="R9"/>
  <c r="O9"/>
  <c r="S8"/>
  <c r="R8" s="1"/>
  <c r="O8"/>
  <c r="S7"/>
  <c r="R7"/>
  <c r="O7"/>
  <c r="S6"/>
  <c r="R6" s="1"/>
  <c r="O6"/>
  <c r="S5"/>
  <c r="R5"/>
  <c r="O5"/>
  <c r="S4"/>
  <c r="R4" s="1"/>
  <c r="O4"/>
  <c r="S3"/>
  <c r="R3"/>
  <c r="O3"/>
</calcChain>
</file>

<file path=xl/connections.xml><?xml version="1.0" encoding="utf-8"?>
<connections xmlns="http://schemas.openxmlformats.org/spreadsheetml/2006/main">
  <connection id="1" name="sell_item OFF 1- 2 AGST" type="6" refreshedVersion="3" background="1" saveData="1">
    <textPr codePage="437" sourceFile="D:\2.Yeni\CH\CORE\2026\AGST26\ARIA\sell_item OFF 1- 2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sell_item OFF 10 AGST" type="6" refreshedVersion="3" background="1" saveData="1">
    <textPr codePage="437" sourceFile="D:\2.Yeni\CH\CORE\2026\AGST26\ARIA\sell_item OFF 10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sell_item OFF 11 AGST" type="6" refreshedVersion="3" background="1" saveData="1">
    <textPr codePage="437" sourceFile="D:\2.Yeni\CH\CORE\2026\AGST26\ARIA\sell_item OFF 11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sell_item OFF 12 AGST" type="6" refreshedVersion="3" background="1" saveData="1">
    <textPr codePage="437" sourceFile="D:\2.Yeni\CH\CORE\2026\AGST26\ARIA\sell_item OFF 12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sell_item OFF 13 AGST" type="6" refreshedVersion="3" background="1" saveData="1">
    <textPr codePage="437" sourceFile="D:\2.Yeni\CH\CORE\2026\AGST26\ARIA\sell_item OFF 13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sell_item OFF 14 AGST" type="6" refreshedVersion="3" background="1" saveData="1">
    <textPr codePage="437" sourceFile="D:\2.Yeni\CH\CORE\2026\AGST26\ARIA\sell_item OFF 14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sell_item OFF 15 AGST" type="6" refreshedVersion="3" background="1" saveData="1">
    <textPr codePage="437" sourceFile="D:\2.Yeni\CH\CORE\2026\AGST26\ARIA\sell_item OFF 15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sell_item OFF 16 AGST" type="6" refreshedVersion="3" background="1" saveData="1">
    <textPr codePage="437" sourceFile="D:\2.Yeni\CH\CORE\2026\AGST26\ARIA\sell_item OFF 16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sell_item OFF 17 AGST (610089)" type="6" refreshedVersion="3" background="1" saveData="1">
    <textPr codePage="437" sourceFile="D:\2.Yeni\CH\CORE\2026\AGST26\ARIA\sell_item OFF 17 AGST (610089)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sell_item OFF 18 AGST" type="6" refreshedVersion="3" background="1" saveData="1">
    <textPr codePage="437" sourceFile="D:\2.Yeni\CH\CORE\2026\AGST26\ARIA\sell_item OFF 18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sell_item OFF 19-21 AGST" type="6" refreshedVersion="3" background="1" saveData="1">
    <textPr codePage="437" sourceFile="D:\2.Yeni\CH\CORE\2026\AGST26\ARIA\sell_item OFF 19-21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name="sell_item OFF 22 AGST" type="6" refreshedVersion="3" background="1" saveData="1">
    <textPr codePage="437" sourceFile="D:\2.Yeni\CH\CORE\2026\AGST26\ARIA\sell_item OFF 22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name="sell_item OFF 23 AGST" type="6" refreshedVersion="3" background="1" saveData="1">
    <textPr codePage="437" sourceFile="D:\2.Yeni\CH\CORE\2026\AGST26\ARIA\sell_item OFF 23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name="sell_item OFF 24 AGST" type="6" refreshedVersion="3" background="1" saveData="1">
    <textPr codePage="437" sourceFile="D:\2.Yeni\CH\CORE\2026\AGST26\ARIA\sell_item OFF 24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name="sell_item OFF 25 AGST 4363)" type="6" refreshedVersion="3" background="1" saveData="1">
    <textPr codePage="437" sourceFile="D:\2.Yeni\CH\CORE\2026\AGST26\ARIA\sell_item OFF 25 AGST 4363)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name="sell_item OFF 3 AGST" type="6" refreshedVersion="3" background="1" saveData="1">
    <textPr codePage="437" sourceFile="D:\2.Yeni\CH\CORE\2026\AGST26\ARIA\sell_item OFF 3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name="sell_item OFF 31 JULI" type="6" refreshedVersion="3" background="1" saveData="1">
    <textPr codePage="437" sourceFile="D:\2.Yeni\CH\CORE\2026\JULI26\ARIA\sell_item OFF 31 JULI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name="sell_item OFF 4- 5 AGST" type="6" refreshedVersion="3" background="1" saveData="1">
    <textPr codePage="437" sourceFile="D:\2.Yeni\CH\CORE\2026\AGST26\ARIA\sell_item OFF 4- 5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name="sell_item OFF 6 AGST" type="6" refreshedVersion="3" background="1" saveData="1">
    <textPr codePage="437" sourceFile="D:\2.Yeni\CH\CORE\2026\AGST26\ARIA\sell_item OFF 6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name="sell_item OFF 7-8 AGST" type="6" refreshedVersion="3" background="1" saveData="1">
    <textPr codePage="437" sourceFile="D:\2.Yeni\CH\CORE\2026\AGST26\ARIA\sell_item OFF 7-8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name="sell_item OFF 9 AGST" type="6" refreshedVersion="3" background="1" saveData="1">
    <textPr codePage="437" sourceFile="D:\2.Yeni\CH\CORE\2026\AGST26\ARIA\sell_item OFF 9 AGST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<sst xmlns="http://schemas.openxmlformats.org/spreadsheetml/2006/main" count="398" uniqueCount="107">
  <si>
    <t>Invoice</t>
  </si>
  <si>
    <t>Date</t>
  </si>
  <si>
    <t>Sender</t>
  </si>
  <si>
    <t>Receiver</t>
  </si>
  <si>
    <t>Type</t>
  </si>
  <si>
    <t>Barcode</t>
  </si>
  <si>
    <t>Items</t>
  </si>
  <si>
    <t>Qty</t>
  </si>
  <si>
    <t>Sub Discount</t>
  </si>
  <si>
    <t>Subtotal</t>
  </si>
  <si>
    <t>Adjust</t>
  </si>
  <si>
    <t>Disc</t>
  </si>
  <si>
    <t>Total</t>
  </si>
  <si>
    <t>Desc</t>
  </si>
  <si>
    <t>Store - CITOS OFFLINE</t>
  </si>
  <si>
    <t>Citos - Customer</t>
  </si>
  <si>
    <t>Sell</t>
  </si>
  <si>
    <t>AJJCX00136072L</t>
  </si>
  <si>
    <t>AJJCB0022101M</t>
  </si>
  <si>
    <t>ACCHJ0002105S</t>
  </si>
  <si>
    <t>Store - CITOS</t>
  </si>
  <si>
    <t>ADDCN0002702M</t>
  </si>
  <si>
    <t>ACCHJ0000607S</t>
  </si>
  <si>
    <t>GLOVE-17-BLACK-M</t>
  </si>
  <si>
    <t>SOCKS-04-WHITE</t>
  </si>
  <si>
    <t>ACCHJ0002206M</t>
  </si>
  <si>
    <t>AJDCX0013705L</t>
  </si>
  <si>
    <t>ACCHJ0002317S</t>
  </si>
  <si>
    <t>ACCHJ0000613M</t>
  </si>
  <si>
    <t>C78CB0023301M</t>
  </si>
  <si>
    <t>AJDCB0022422M</t>
  </si>
  <si>
    <t>FOAMROLLER-01-BLUE</t>
  </si>
  <si>
    <t>BAG-16-07-BLACK</t>
  </si>
  <si>
    <t>ACCHJ0002206L</t>
  </si>
  <si>
    <t>AJJCB0022114L</t>
  </si>
  <si>
    <t>BAG-16-05-GREY</t>
  </si>
  <si>
    <t>ROKCI0002401XL</t>
  </si>
  <si>
    <t>AJJCB0022102S</t>
  </si>
  <si>
    <t>AJJCI0014402XL</t>
  </si>
  <si>
    <t>GLOVE-01-BLACK-S</t>
  </si>
  <si>
    <t>AJJCB0022103L</t>
  </si>
  <si>
    <t>SOCKS-04-BLACK</t>
  </si>
  <si>
    <t>AJJCX0013609M</t>
  </si>
  <si>
    <t>AJJCI0004803S</t>
  </si>
  <si>
    <t>APJCI0007703S</t>
  </si>
  <si>
    <t>ROKCA2600602M</t>
  </si>
  <si>
    <t>ACCHJ0002317L</t>
  </si>
  <si>
    <t>ROKCI0012004L</t>
  </si>
  <si>
    <t>CPJCB0020707M</t>
  </si>
  <si>
    <t>CLNCX00122342L</t>
  </si>
  <si>
    <t>APJCB0021102L</t>
  </si>
  <si>
    <t>CLNCI0010303S</t>
  </si>
  <si>
    <t>CLNCX0012232XL</t>
  </si>
  <si>
    <t>KNEESUPPORT-18-PUREBLACK-L</t>
  </si>
  <si>
    <t>WEIGHTBRACELET-01-4LBS-GRADIENTBLACK</t>
  </si>
  <si>
    <t>GLOVE-21-PINK-S</t>
  </si>
  <si>
    <t>KNEESUPPORT-18-PUREBLACK-XL</t>
  </si>
  <si>
    <t>BAG-16-02-BLACK</t>
  </si>
  <si>
    <t>26/08/2026</t>
  </si>
  <si>
    <t>CLNCX9004702L</t>
  </si>
  <si>
    <t>ROKCI0013201XL</t>
  </si>
  <si>
    <t>APJCX9013402L</t>
  </si>
  <si>
    <t>AJJCB0022101XL</t>
  </si>
  <si>
    <t>AJJCB0022102XL</t>
  </si>
  <si>
    <t>AJJCB0022101S</t>
  </si>
  <si>
    <t>AJJCX0013608S</t>
  </si>
  <si>
    <t>AJJCB0022102M</t>
  </si>
  <si>
    <t>ROKCI0002415M</t>
  </si>
  <si>
    <t>CLNCI0010502L</t>
  </si>
  <si>
    <t>APJCI0003307XL</t>
  </si>
  <si>
    <t>ATSCI0007102M</t>
  </si>
  <si>
    <t>CPJCI0010704M</t>
  </si>
  <si>
    <t>BAG-25-BLACK</t>
  </si>
  <si>
    <t>ANKLESUPPORT-03-BLACK-S</t>
  </si>
  <si>
    <t>FABRICBAND-04-LIGHTGREY-LIGHT</t>
  </si>
  <si>
    <t>FOAMROLLER-01-PINK</t>
  </si>
  <si>
    <t>27/08/2026</t>
  </si>
  <si>
    <t>AJJCX0013610XL</t>
  </si>
  <si>
    <t>CPJCX0013406XL</t>
  </si>
  <si>
    <t>ROKCI0002424XL</t>
  </si>
  <si>
    <t>ROKCI0002404XL</t>
  </si>
  <si>
    <t>CRKCN0002409XL</t>
  </si>
  <si>
    <t>CPJCX00134062L</t>
  </si>
  <si>
    <t>AJJCX0013608M</t>
  </si>
  <si>
    <t>AJJCX0013610M</t>
  </si>
  <si>
    <t>AJDCX9015501L</t>
  </si>
  <si>
    <t>CLNCI0010502S</t>
  </si>
  <si>
    <t>ATSCI0010609M</t>
  </si>
  <si>
    <t>CLNCX9007303L</t>
  </si>
  <si>
    <t>AJDCX9013502M</t>
  </si>
  <si>
    <t>ROKCI0013202XL</t>
  </si>
  <si>
    <t>CPJCI0010708M</t>
  </si>
  <si>
    <t>ATSCI0011701XL</t>
  </si>
  <si>
    <t>CLNCX9013201XL</t>
  </si>
  <si>
    <t>RS CITOS DEANDY</t>
  </si>
  <si>
    <t>CLNCX0012233XL</t>
  </si>
  <si>
    <t>APJCI0013001M</t>
  </si>
  <si>
    <t>CLNCI0010406M</t>
  </si>
  <si>
    <t>CLNCI0012502M</t>
  </si>
  <si>
    <t>AJDCA2302511M</t>
  </si>
  <si>
    <t>AJDCA2302510L</t>
  </si>
  <si>
    <t>HOOKSTRAP-01-BLACK</t>
  </si>
  <si>
    <t>GLOVE-11-GOLD-S</t>
  </si>
  <si>
    <t>GLOVE-17-GREY-M</t>
  </si>
  <si>
    <t>ARIA3</t>
  </si>
  <si>
    <t>ARIA</t>
  </si>
  <si>
    <t>PAKAI  RUMUS BUAT JADI KODE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</si>
</sst>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sz val="20"/>
      <color theme="1"/>
      <name val="Calibri"/>
      <family val="2"/>
      <charset val="1"/>
      <scheme val="minor"/>
    </font>
    <font>
      <sz val="20"/>
      <color rgb="FFFF0000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Fill="1"/>
    <xf numFmtId="0" fontId="1" fillId="3" borderId="0" xfId="0" applyFont="1" applyFill="1"/>
    <xf numFmtId="0" fontId="2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ell_item OFF 25 AGST 4363)" connectionId="1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80"/>
      </a:dk1>
      <a:lt1>
        <a:sysClr val="window" lastClr="F7D7E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2"/>
  <sheetViews>
    <sheetView tabSelected="1" topLeftCell="A22" workbookViewId="0">
      <selection activeCell="H11" sqref="H11"/>
    </sheetView>
  </sheetViews>
  <sheetFormatPr defaultRowHeight="15"/>
  <cols>
    <col min="1" max="1" width="13.140625" customWidth="1"/>
    <col min="2" max="2" width="8.140625" customWidth="1"/>
    <col min="3" max="3" width="20.42578125" customWidth="1"/>
    <col min="4" max="4" width="15.7109375" customWidth="1"/>
    <col min="5" max="5" width="5.28515625" customWidth="1"/>
    <col min="6" max="6" width="8.140625" customWidth="1"/>
    <col min="7" max="7" width="16" customWidth="1"/>
    <col min="8" max="8" width="4.140625" customWidth="1"/>
    <col min="9" max="9" width="12.42578125" customWidth="1"/>
    <col min="10" max="10" width="10.140625" customWidth="1"/>
    <col min="11" max="11" width="6.7109375" customWidth="1"/>
    <col min="12" max="12" width="4.5703125" customWidth="1"/>
    <col min="13" max="13" width="10.140625" customWidth="1"/>
    <col min="14" max="14" width="12.5703125" customWidth="1"/>
    <col min="15" max="15" width="37" bestFit="1" customWidth="1"/>
  </cols>
  <sheetData>
    <row r="1" spans="1:19" ht="26.25">
      <c r="A1" s="5" t="s">
        <v>105</v>
      </c>
      <c r="O1" s="6" t="s">
        <v>106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9">
      <c r="A3">
        <v>614275</v>
      </c>
      <c r="B3" s="1">
        <v>46259</v>
      </c>
      <c r="C3" t="s">
        <v>14</v>
      </c>
      <c r="D3" t="s">
        <v>15</v>
      </c>
      <c r="E3" t="s">
        <v>16</v>
      </c>
      <c r="F3">
        <v>101737</v>
      </c>
      <c r="G3" t="s">
        <v>42</v>
      </c>
      <c r="H3" s="3">
        <v>1</v>
      </c>
      <c r="I3">
        <v>50</v>
      </c>
      <c r="J3">
        <v>149500</v>
      </c>
      <c r="K3">
        <v>0</v>
      </c>
      <c r="L3">
        <v>0</v>
      </c>
      <c r="M3">
        <v>149500</v>
      </c>
      <c r="O3" s="2" t="str">
        <f t="shared" ref="O3:O21" si="0">MID(G3,1,3)&amp;" "&amp;MID(G3,4,7)&amp;"/"&amp;MID(G3,11,2)&amp;" "&amp;MID(G3,13,2)</f>
        <v>AJJ CX00136/09 M</v>
      </c>
      <c r="P3">
        <v>1</v>
      </c>
      <c r="R3">
        <f t="shared" ref="R3:R30" si="1">J3/(1-S3)/H3</f>
        <v>299000</v>
      </c>
      <c r="S3">
        <f t="shared" ref="S3:S30" si="2">I3*1%</f>
        <v>0.5</v>
      </c>
    </row>
    <row r="4" spans="1:19">
      <c r="A4">
        <v>614297</v>
      </c>
      <c r="B4" s="1">
        <v>46259</v>
      </c>
      <c r="C4" t="s">
        <v>14</v>
      </c>
      <c r="D4" t="s">
        <v>15</v>
      </c>
      <c r="E4" t="s">
        <v>16</v>
      </c>
      <c r="F4">
        <v>68531</v>
      </c>
      <c r="G4" t="s">
        <v>22</v>
      </c>
      <c r="H4" s="3">
        <v>1</v>
      </c>
      <c r="I4">
        <v>30</v>
      </c>
      <c r="J4">
        <v>104930</v>
      </c>
      <c r="K4">
        <v>0</v>
      </c>
      <c r="L4">
        <v>0</v>
      </c>
      <c r="M4">
        <v>104930</v>
      </c>
      <c r="O4" s="2" t="str">
        <f t="shared" si="0"/>
        <v>ACC HJ00006/07 S</v>
      </c>
      <c r="P4">
        <v>1</v>
      </c>
      <c r="R4">
        <f t="shared" si="1"/>
        <v>149900</v>
      </c>
      <c r="S4">
        <f t="shared" si="2"/>
        <v>0.3</v>
      </c>
    </row>
    <row r="5" spans="1:19">
      <c r="A5">
        <v>614316</v>
      </c>
      <c r="B5" s="1">
        <v>46259</v>
      </c>
      <c r="C5" t="s">
        <v>14</v>
      </c>
      <c r="D5" t="s">
        <v>15</v>
      </c>
      <c r="E5" t="s">
        <v>16</v>
      </c>
      <c r="F5">
        <v>90221</v>
      </c>
      <c r="G5" t="s">
        <v>43</v>
      </c>
      <c r="H5" s="3">
        <v>1</v>
      </c>
      <c r="I5">
        <v>30</v>
      </c>
      <c r="J5">
        <v>209930</v>
      </c>
      <c r="K5">
        <v>0</v>
      </c>
      <c r="L5">
        <v>0</v>
      </c>
      <c r="M5">
        <v>559790</v>
      </c>
      <c r="O5" s="2" t="str">
        <f t="shared" si="0"/>
        <v>AJJ CI00048/03 S</v>
      </c>
      <c r="P5">
        <v>1</v>
      </c>
      <c r="R5">
        <f t="shared" si="1"/>
        <v>299900</v>
      </c>
      <c r="S5">
        <f t="shared" si="2"/>
        <v>0.3</v>
      </c>
    </row>
    <row r="6" spans="1:19">
      <c r="A6">
        <v>614316</v>
      </c>
      <c r="E6" t="s">
        <v>16</v>
      </c>
      <c r="F6">
        <v>92493</v>
      </c>
      <c r="G6" t="s">
        <v>44</v>
      </c>
      <c r="H6" s="3">
        <v>1</v>
      </c>
      <c r="I6">
        <v>30</v>
      </c>
      <c r="J6">
        <v>209930</v>
      </c>
      <c r="O6" s="2" t="str">
        <f t="shared" si="0"/>
        <v>APJ CI00077/03 S</v>
      </c>
      <c r="P6">
        <v>1</v>
      </c>
      <c r="R6">
        <f t="shared" si="1"/>
        <v>299900</v>
      </c>
      <c r="S6">
        <f t="shared" si="2"/>
        <v>0.3</v>
      </c>
    </row>
    <row r="7" spans="1:19">
      <c r="A7">
        <v>614316</v>
      </c>
      <c r="E7" t="s">
        <v>16</v>
      </c>
      <c r="F7">
        <v>100233</v>
      </c>
      <c r="G7" t="s">
        <v>27</v>
      </c>
      <c r="H7" s="3">
        <v>1</v>
      </c>
      <c r="I7">
        <v>30</v>
      </c>
      <c r="J7">
        <v>139930</v>
      </c>
      <c r="O7" s="2" t="str">
        <f t="shared" si="0"/>
        <v>ACC HJ00023/17 S</v>
      </c>
      <c r="P7">
        <v>1</v>
      </c>
      <c r="R7">
        <f t="shared" si="1"/>
        <v>199900</v>
      </c>
      <c r="S7">
        <f t="shared" si="2"/>
        <v>0.3</v>
      </c>
    </row>
    <row r="8" spans="1:19">
      <c r="A8">
        <v>614318</v>
      </c>
      <c r="B8" s="1">
        <v>46259</v>
      </c>
      <c r="C8" t="s">
        <v>14</v>
      </c>
      <c r="D8" t="s">
        <v>15</v>
      </c>
      <c r="E8" t="s">
        <v>16</v>
      </c>
      <c r="F8">
        <v>100364</v>
      </c>
      <c r="G8" t="s">
        <v>17</v>
      </c>
      <c r="H8" s="3">
        <v>1</v>
      </c>
      <c r="I8">
        <v>50</v>
      </c>
      <c r="J8">
        <v>149500</v>
      </c>
      <c r="K8">
        <v>0</v>
      </c>
      <c r="L8">
        <v>0</v>
      </c>
      <c r="M8">
        <v>499430</v>
      </c>
      <c r="O8" s="2" t="str">
        <f t="shared" si="0"/>
        <v>AJJ CX00136/07 2L</v>
      </c>
      <c r="P8">
        <v>1</v>
      </c>
      <c r="R8">
        <f t="shared" si="1"/>
        <v>299000</v>
      </c>
      <c r="S8">
        <f t="shared" si="2"/>
        <v>0.5</v>
      </c>
    </row>
    <row r="9" spans="1:19">
      <c r="A9">
        <v>614318</v>
      </c>
      <c r="E9" t="s">
        <v>16</v>
      </c>
      <c r="F9">
        <v>101411</v>
      </c>
      <c r="G9" t="s">
        <v>38</v>
      </c>
      <c r="H9" s="3">
        <v>1</v>
      </c>
      <c r="I9">
        <v>30</v>
      </c>
      <c r="J9">
        <v>349930</v>
      </c>
      <c r="O9" s="2" t="str">
        <f t="shared" si="0"/>
        <v>AJJ CI00144/02 XL</v>
      </c>
      <c r="P9">
        <v>1</v>
      </c>
      <c r="R9">
        <f t="shared" si="1"/>
        <v>499900.00000000006</v>
      </c>
      <c r="S9">
        <f t="shared" si="2"/>
        <v>0.3</v>
      </c>
    </row>
    <row r="10" spans="1:19">
      <c r="A10">
        <v>614319</v>
      </c>
      <c r="B10" s="1">
        <v>46259</v>
      </c>
      <c r="C10" t="s">
        <v>14</v>
      </c>
      <c r="D10" t="s">
        <v>15</v>
      </c>
      <c r="E10" t="s">
        <v>16</v>
      </c>
      <c r="F10">
        <v>92067</v>
      </c>
      <c r="G10" t="s">
        <v>33</v>
      </c>
      <c r="H10" s="3">
        <v>1</v>
      </c>
      <c r="I10">
        <v>30</v>
      </c>
      <c r="J10">
        <v>111930</v>
      </c>
      <c r="K10">
        <v>0</v>
      </c>
      <c r="L10">
        <v>0</v>
      </c>
      <c r="M10">
        <v>111930</v>
      </c>
      <c r="O10" s="2" t="str">
        <f t="shared" si="0"/>
        <v>ACC HJ00022/06 L</v>
      </c>
      <c r="P10">
        <v>1</v>
      </c>
      <c r="R10">
        <f t="shared" si="1"/>
        <v>159900</v>
      </c>
      <c r="S10">
        <f t="shared" si="2"/>
        <v>0.3</v>
      </c>
    </row>
    <row r="11" spans="1:19">
      <c r="A11">
        <v>614325</v>
      </c>
      <c r="B11" s="1">
        <v>46259</v>
      </c>
      <c r="C11" t="s">
        <v>14</v>
      </c>
      <c r="D11" t="s">
        <v>15</v>
      </c>
      <c r="E11" t="s">
        <v>16</v>
      </c>
      <c r="F11">
        <v>100559</v>
      </c>
      <c r="G11" t="s">
        <v>45</v>
      </c>
      <c r="H11" s="3">
        <v>1</v>
      </c>
      <c r="I11">
        <v>20</v>
      </c>
      <c r="J11">
        <v>343920</v>
      </c>
      <c r="K11">
        <v>0</v>
      </c>
      <c r="L11">
        <v>0</v>
      </c>
      <c r="M11">
        <v>343920</v>
      </c>
      <c r="O11" s="2" t="str">
        <f t="shared" si="0"/>
        <v>ROK CA26006/02 M</v>
      </c>
      <c r="P11">
        <v>1</v>
      </c>
      <c r="R11">
        <f t="shared" si="1"/>
        <v>429900</v>
      </c>
      <c r="S11">
        <f t="shared" si="2"/>
        <v>0.2</v>
      </c>
    </row>
    <row r="12" spans="1:19">
      <c r="A12">
        <v>614348</v>
      </c>
      <c r="B12" s="1">
        <v>46259</v>
      </c>
      <c r="C12" t="s">
        <v>14</v>
      </c>
      <c r="D12" t="s">
        <v>15</v>
      </c>
      <c r="E12" t="s">
        <v>16</v>
      </c>
      <c r="F12">
        <v>100235</v>
      </c>
      <c r="G12" t="s">
        <v>46</v>
      </c>
      <c r="H12" s="3">
        <v>1</v>
      </c>
      <c r="I12">
        <v>30</v>
      </c>
      <c r="J12">
        <v>139930</v>
      </c>
      <c r="K12">
        <v>0</v>
      </c>
      <c r="L12">
        <v>0</v>
      </c>
      <c r="M12">
        <v>566790</v>
      </c>
      <c r="O12" s="2" t="str">
        <f t="shared" si="0"/>
        <v>ACC HJ00023/17 L</v>
      </c>
      <c r="P12">
        <v>1</v>
      </c>
      <c r="R12">
        <f t="shared" si="1"/>
        <v>199900</v>
      </c>
      <c r="S12">
        <f t="shared" si="2"/>
        <v>0.3</v>
      </c>
    </row>
    <row r="13" spans="1:19">
      <c r="A13">
        <v>614348</v>
      </c>
      <c r="E13" t="s">
        <v>16</v>
      </c>
      <c r="F13">
        <v>87186</v>
      </c>
      <c r="G13" t="s">
        <v>28</v>
      </c>
      <c r="H13" s="3">
        <v>1</v>
      </c>
      <c r="I13">
        <v>30</v>
      </c>
      <c r="J13">
        <v>104930</v>
      </c>
      <c r="O13" s="2" t="str">
        <f t="shared" si="0"/>
        <v>ACC HJ00006/13 M</v>
      </c>
      <c r="P13">
        <v>1</v>
      </c>
      <c r="R13">
        <f t="shared" si="1"/>
        <v>149900</v>
      </c>
      <c r="S13">
        <f t="shared" si="2"/>
        <v>0.3</v>
      </c>
    </row>
    <row r="14" spans="1:19">
      <c r="A14">
        <v>614348</v>
      </c>
      <c r="E14" t="s">
        <v>16</v>
      </c>
      <c r="F14">
        <v>99210</v>
      </c>
      <c r="G14" t="s">
        <v>47</v>
      </c>
      <c r="H14" s="3">
        <v>1</v>
      </c>
      <c r="I14">
        <v>30</v>
      </c>
      <c r="J14">
        <v>321930</v>
      </c>
      <c r="O14" s="2" t="str">
        <f t="shared" si="0"/>
        <v>ROK CI00120/04 L</v>
      </c>
      <c r="P14">
        <v>1</v>
      </c>
      <c r="R14">
        <f t="shared" si="1"/>
        <v>459900.00000000006</v>
      </c>
      <c r="S14">
        <f t="shared" si="2"/>
        <v>0.3</v>
      </c>
    </row>
    <row r="15" spans="1:19">
      <c r="A15">
        <v>614353</v>
      </c>
      <c r="B15" s="1">
        <v>46259</v>
      </c>
      <c r="C15" t="s">
        <v>14</v>
      </c>
      <c r="D15" t="s">
        <v>15</v>
      </c>
      <c r="E15" t="s">
        <v>16</v>
      </c>
      <c r="F15">
        <v>101049</v>
      </c>
      <c r="G15" t="s">
        <v>48</v>
      </c>
      <c r="H15" s="3">
        <v>1</v>
      </c>
      <c r="I15">
        <v>50</v>
      </c>
      <c r="J15">
        <v>189750</v>
      </c>
      <c r="K15">
        <v>0</v>
      </c>
      <c r="L15">
        <v>0</v>
      </c>
      <c r="M15">
        <v>189750</v>
      </c>
      <c r="O15" s="2" t="str">
        <f t="shared" si="0"/>
        <v>CPJ CB00207/07 M</v>
      </c>
      <c r="P15">
        <v>1</v>
      </c>
      <c r="R15">
        <f t="shared" si="1"/>
        <v>379500</v>
      </c>
      <c r="S15">
        <f t="shared" si="2"/>
        <v>0.5</v>
      </c>
    </row>
    <row r="16" spans="1:19">
      <c r="A16">
        <v>614357</v>
      </c>
      <c r="B16" s="1">
        <v>46259</v>
      </c>
      <c r="C16" t="s">
        <v>14</v>
      </c>
      <c r="D16" t="s">
        <v>15</v>
      </c>
      <c r="E16" t="s">
        <v>16</v>
      </c>
      <c r="F16">
        <v>101554</v>
      </c>
      <c r="G16" t="s">
        <v>49</v>
      </c>
      <c r="H16" s="3">
        <v>1</v>
      </c>
      <c r="I16">
        <v>50</v>
      </c>
      <c r="J16">
        <v>164500</v>
      </c>
      <c r="K16">
        <v>0</v>
      </c>
      <c r="L16">
        <v>0</v>
      </c>
      <c r="M16">
        <v>509180</v>
      </c>
      <c r="O16" s="2" t="str">
        <f t="shared" si="0"/>
        <v>CLN CX00122/34 2L</v>
      </c>
      <c r="P16">
        <v>1</v>
      </c>
      <c r="R16">
        <f t="shared" si="1"/>
        <v>329000</v>
      </c>
      <c r="S16">
        <f t="shared" si="2"/>
        <v>0.5</v>
      </c>
    </row>
    <row r="17" spans="1:19">
      <c r="A17">
        <v>614357</v>
      </c>
      <c r="E17" t="s">
        <v>16</v>
      </c>
      <c r="F17">
        <v>90990</v>
      </c>
      <c r="G17" t="s">
        <v>50</v>
      </c>
      <c r="H17" s="3">
        <v>1</v>
      </c>
      <c r="I17">
        <v>50</v>
      </c>
      <c r="J17">
        <v>99750</v>
      </c>
      <c r="O17" s="2" t="str">
        <f t="shared" si="0"/>
        <v>APJ CB00211/02 L</v>
      </c>
      <c r="P17">
        <v>1</v>
      </c>
      <c r="R17">
        <f t="shared" si="1"/>
        <v>199500</v>
      </c>
      <c r="S17">
        <f t="shared" si="2"/>
        <v>0.5</v>
      </c>
    </row>
    <row r="18" spans="1:19">
      <c r="A18">
        <v>614357</v>
      </c>
      <c r="E18" t="s">
        <v>16</v>
      </c>
      <c r="F18">
        <v>94623</v>
      </c>
      <c r="G18" t="s">
        <v>51</v>
      </c>
      <c r="H18" s="3">
        <v>1</v>
      </c>
      <c r="I18">
        <v>30</v>
      </c>
      <c r="J18">
        <v>244930</v>
      </c>
      <c r="O18" s="2" t="str">
        <f t="shared" si="0"/>
        <v>CLN CI00103/03 S</v>
      </c>
      <c r="P18">
        <v>1</v>
      </c>
      <c r="R18">
        <f t="shared" si="1"/>
        <v>349900</v>
      </c>
      <c r="S18">
        <f t="shared" si="2"/>
        <v>0.3</v>
      </c>
    </row>
    <row r="19" spans="1:19">
      <c r="A19">
        <v>614360</v>
      </c>
      <c r="B19" s="1">
        <v>46259</v>
      </c>
      <c r="C19" t="s">
        <v>14</v>
      </c>
      <c r="D19" t="s">
        <v>15</v>
      </c>
      <c r="E19" t="s">
        <v>16</v>
      </c>
      <c r="F19">
        <v>101145</v>
      </c>
      <c r="G19" t="s">
        <v>52</v>
      </c>
      <c r="H19" s="3">
        <v>1</v>
      </c>
      <c r="I19">
        <v>50</v>
      </c>
      <c r="J19">
        <v>164500</v>
      </c>
      <c r="K19">
        <v>0</v>
      </c>
      <c r="L19">
        <v>0</v>
      </c>
      <c r="M19">
        <v>164500</v>
      </c>
      <c r="O19" s="2" t="str">
        <f t="shared" si="0"/>
        <v>CLN CX00122/32 XL</v>
      </c>
      <c r="P19">
        <v>1</v>
      </c>
      <c r="R19">
        <f t="shared" si="1"/>
        <v>329000</v>
      </c>
      <c r="S19">
        <f t="shared" si="2"/>
        <v>0.5</v>
      </c>
    </row>
    <row r="20" spans="1:19">
      <c r="A20">
        <v>614363</v>
      </c>
      <c r="B20" s="1">
        <v>46259</v>
      </c>
      <c r="C20" t="s">
        <v>14</v>
      </c>
      <c r="D20" t="s">
        <v>15</v>
      </c>
      <c r="E20" t="s">
        <v>16</v>
      </c>
      <c r="F20">
        <v>92066</v>
      </c>
      <c r="G20" t="s">
        <v>25</v>
      </c>
      <c r="H20" s="3">
        <v>1</v>
      </c>
      <c r="I20">
        <v>30</v>
      </c>
      <c r="J20">
        <v>111930</v>
      </c>
      <c r="K20">
        <v>0</v>
      </c>
      <c r="L20">
        <v>0</v>
      </c>
      <c r="M20">
        <v>111930</v>
      </c>
      <c r="O20" s="2" t="str">
        <f t="shared" si="0"/>
        <v>ACC HJ00022/06 M</v>
      </c>
      <c r="P20">
        <v>1</v>
      </c>
      <c r="R20">
        <f t="shared" si="1"/>
        <v>159900</v>
      </c>
      <c r="S20">
        <f t="shared" si="2"/>
        <v>0.3</v>
      </c>
    </row>
    <row r="21" spans="1:19">
      <c r="A21">
        <v>614415</v>
      </c>
      <c r="B21" s="1">
        <v>46259</v>
      </c>
      <c r="C21" t="s">
        <v>14</v>
      </c>
      <c r="D21" t="s">
        <v>15</v>
      </c>
      <c r="E21" t="s">
        <v>16</v>
      </c>
      <c r="F21">
        <v>95740</v>
      </c>
      <c r="G21" t="s">
        <v>29</v>
      </c>
      <c r="H21">
        <v>1</v>
      </c>
      <c r="I21">
        <v>50</v>
      </c>
      <c r="J21">
        <v>224750</v>
      </c>
      <c r="K21">
        <v>0</v>
      </c>
      <c r="L21">
        <v>0</v>
      </c>
      <c r="M21">
        <v>224750</v>
      </c>
      <c r="O21" s="2" t="str">
        <f t="shared" si="0"/>
        <v>C78 CB00233/01 M</v>
      </c>
      <c r="P21">
        <v>1</v>
      </c>
      <c r="R21">
        <f t="shared" si="1"/>
        <v>449500</v>
      </c>
      <c r="S21">
        <f t="shared" si="2"/>
        <v>0.5</v>
      </c>
    </row>
    <row r="22" spans="1:19">
      <c r="A22">
        <v>614269</v>
      </c>
      <c r="B22" s="1">
        <v>46259</v>
      </c>
      <c r="C22" t="s">
        <v>20</v>
      </c>
      <c r="D22" t="s">
        <v>15</v>
      </c>
      <c r="E22" t="s">
        <v>16</v>
      </c>
      <c r="F22">
        <v>97654</v>
      </c>
      <c r="G22" t="s">
        <v>53</v>
      </c>
      <c r="H22">
        <v>1</v>
      </c>
      <c r="I22">
        <v>0</v>
      </c>
      <c r="J22">
        <v>119000</v>
      </c>
      <c r="K22">
        <v>0</v>
      </c>
      <c r="L22">
        <v>0</v>
      </c>
      <c r="M22">
        <v>119000</v>
      </c>
      <c r="O22" s="2" t="str">
        <f t="shared" ref="O22:P30" si="3">G22</f>
        <v>KNEESUPPORT-18-PUREBLACK-L</v>
      </c>
      <c r="P22">
        <f t="shared" si="3"/>
        <v>1</v>
      </c>
      <c r="R22">
        <f t="shared" si="1"/>
        <v>119000</v>
      </c>
      <c r="S22">
        <f t="shared" si="2"/>
        <v>0</v>
      </c>
    </row>
    <row r="23" spans="1:19">
      <c r="A23">
        <v>614317</v>
      </c>
      <c r="B23" s="1">
        <v>46259</v>
      </c>
      <c r="C23" t="s">
        <v>20</v>
      </c>
      <c r="D23" t="s">
        <v>15</v>
      </c>
      <c r="E23" t="s">
        <v>16</v>
      </c>
      <c r="F23">
        <v>98164</v>
      </c>
      <c r="G23" t="s">
        <v>54</v>
      </c>
      <c r="H23">
        <v>1</v>
      </c>
      <c r="I23">
        <v>0</v>
      </c>
      <c r="J23">
        <v>389000</v>
      </c>
      <c r="K23">
        <v>0</v>
      </c>
      <c r="L23">
        <v>0</v>
      </c>
      <c r="M23">
        <v>777000</v>
      </c>
      <c r="O23" s="2" t="str">
        <f t="shared" si="3"/>
        <v>WEIGHTBRACELET-01-4LBS-GRADIENTBLACK</v>
      </c>
      <c r="P23">
        <f t="shared" si="3"/>
        <v>1</v>
      </c>
      <c r="R23">
        <f t="shared" si="1"/>
        <v>389000</v>
      </c>
      <c r="S23">
        <f t="shared" si="2"/>
        <v>0</v>
      </c>
    </row>
    <row r="24" spans="1:19">
      <c r="A24">
        <v>614317</v>
      </c>
      <c r="E24" t="s">
        <v>16</v>
      </c>
      <c r="F24">
        <v>99010</v>
      </c>
      <c r="G24" t="s">
        <v>55</v>
      </c>
      <c r="H24">
        <v>1</v>
      </c>
      <c r="I24">
        <v>0</v>
      </c>
      <c r="J24">
        <v>199000</v>
      </c>
      <c r="O24" s="2" t="str">
        <f t="shared" si="3"/>
        <v>GLOVE-21-PINK-S</v>
      </c>
      <c r="P24">
        <f t="shared" si="3"/>
        <v>1</v>
      </c>
      <c r="R24">
        <f t="shared" si="1"/>
        <v>199000</v>
      </c>
      <c r="S24">
        <f t="shared" si="2"/>
        <v>0</v>
      </c>
    </row>
    <row r="25" spans="1:19">
      <c r="A25">
        <v>614317</v>
      </c>
      <c r="E25" t="s">
        <v>16</v>
      </c>
      <c r="F25">
        <v>92070</v>
      </c>
      <c r="G25" t="s">
        <v>35</v>
      </c>
      <c r="H25">
        <v>1</v>
      </c>
      <c r="I25">
        <v>0</v>
      </c>
      <c r="J25">
        <v>189000</v>
      </c>
      <c r="O25" s="2" t="str">
        <f t="shared" si="3"/>
        <v>BAG-16-05-GREY</v>
      </c>
      <c r="P25">
        <f t="shared" si="3"/>
        <v>1</v>
      </c>
      <c r="R25">
        <f t="shared" si="1"/>
        <v>189000</v>
      </c>
      <c r="S25">
        <f t="shared" si="2"/>
        <v>0</v>
      </c>
    </row>
    <row r="26" spans="1:19">
      <c r="A26">
        <v>614320</v>
      </c>
      <c r="B26" s="1">
        <v>46259</v>
      </c>
      <c r="C26" t="s">
        <v>20</v>
      </c>
      <c r="D26" t="s">
        <v>15</v>
      </c>
      <c r="E26" t="s">
        <v>16</v>
      </c>
      <c r="F26">
        <v>97655</v>
      </c>
      <c r="G26" t="s">
        <v>56</v>
      </c>
      <c r="H26">
        <v>1</v>
      </c>
      <c r="I26">
        <v>0</v>
      </c>
      <c r="J26">
        <v>119000</v>
      </c>
      <c r="K26">
        <v>0</v>
      </c>
      <c r="L26">
        <v>0</v>
      </c>
      <c r="M26">
        <v>119000</v>
      </c>
      <c r="O26" s="2" t="str">
        <f t="shared" si="3"/>
        <v>KNEESUPPORT-18-PUREBLACK-XL</v>
      </c>
      <c r="P26">
        <f t="shared" si="3"/>
        <v>1</v>
      </c>
      <c r="R26">
        <f t="shared" si="1"/>
        <v>119000</v>
      </c>
      <c r="S26">
        <f t="shared" si="2"/>
        <v>0</v>
      </c>
    </row>
    <row r="27" spans="1:19">
      <c r="A27">
        <v>614349</v>
      </c>
      <c r="B27" s="1">
        <v>46259</v>
      </c>
      <c r="C27" t="s">
        <v>20</v>
      </c>
      <c r="D27" t="s">
        <v>15</v>
      </c>
      <c r="E27" t="s">
        <v>16</v>
      </c>
      <c r="F27">
        <v>87590</v>
      </c>
      <c r="G27" t="s">
        <v>57</v>
      </c>
      <c r="H27">
        <v>1</v>
      </c>
      <c r="I27">
        <v>0</v>
      </c>
      <c r="J27">
        <v>129000</v>
      </c>
      <c r="K27">
        <v>0</v>
      </c>
      <c r="L27">
        <v>0</v>
      </c>
      <c r="M27">
        <v>129000</v>
      </c>
      <c r="O27" s="2" t="str">
        <f t="shared" si="3"/>
        <v>BAG-16-02-BLACK</v>
      </c>
      <c r="P27">
        <f t="shared" si="3"/>
        <v>1</v>
      </c>
      <c r="R27">
        <f t="shared" si="1"/>
        <v>129000</v>
      </c>
      <c r="S27">
        <f t="shared" si="2"/>
        <v>0</v>
      </c>
    </row>
    <row r="28" spans="1:19">
      <c r="A28">
        <v>614388</v>
      </c>
      <c r="B28" s="1">
        <v>46259</v>
      </c>
      <c r="C28" t="s">
        <v>20</v>
      </c>
      <c r="D28" t="s">
        <v>15</v>
      </c>
      <c r="E28" t="s">
        <v>16</v>
      </c>
      <c r="F28">
        <v>87590</v>
      </c>
      <c r="G28" t="s">
        <v>57</v>
      </c>
      <c r="H28">
        <v>1</v>
      </c>
      <c r="I28">
        <v>0</v>
      </c>
      <c r="J28">
        <v>129000</v>
      </c>
      <c r="K28">
        <v>0</v>
      </c>
      <c r="L28">
        <v>0</v>
      </c>
      <c r="M28">
        <v>129000</v>
      </c>
      <c r="O28" s="2" t="str">
        <f t="shared" si="3"/>
        <v>BAG-16-02-BLACK</v>
      </c>
      <c r="P28">
        <f t="shared" si="3"/>
        <v>1</v>
      </c>
      <c r="R28">
        <f t="shared" si="1"/>
        <v>129000</v>
      </c>
      <c r="S28">
        <f t="shared" si="2"/>
        <v>0</v>
      </c>
    </row>
    <row r="29" spans="1:19">
      <c r="A29">
        <v>614397</v>
      </c>
      <c r="B29" s="1">
        <v>46259</v>
      </c>
      <c r="C29" t="s">
        <v>20</v>
      </c>
      <c r="D29" t="s">
        <v>15</v>
      </c>
      <c r="E29" t="s">
        <v>16</v>
      </c>
      <c r="F29">
        <v>93401</v>
      </c>
      <c r="G29" t="s">
        <v>32</v>
      </c>
      <c r="H29">
        <v>1</v>
      </c>
      <c r="I29">
        <v>0</v>
      </c>
      <c r="J29">
        <v>149000</v>
      </c>
      <c r="K29">
        <v>0</v>
      </c>
      <c r="L29">
        <v>0</v>
      </c>
      <c r="M29">
        <v>149000</v>
      </c>
      <c r="O29" s="2" t="str">
        <f t="shared" si="3"/>
        <v>BAG-16-07-BLACK</v>
      </c>
      <c r="P29">
        <f t="shared" si="3"/>
        <v>1</v>
      </c>
      <c r="R29">
        <f t="shared" si="1"/>
        <v>149000</v>
      </c>
      <c r="S29">
        <f t="shared" si="2"/>
        <v>0</v>
      </c>
    </row>
    <row r="30" spans="1:19">
      <c r="A30">
        <v>614405</v>
      </c>
      <c r="B30" s="1">
        <v>46259</v>
      </c>
      <c r="C30" t="s">
        <v>20</v>
      </c>
      <c r="D30" t="s">
        <v>15</v>
      </c>
      <c r="E30" t="s">
        <v>16</v>
      </c>
      <c r="F30">
        <v>98201</v>
      </c>
      <c r="G30" t="s">
        <v>23</v>
      </c>
      <c r="H30">
        <v>1</v>
      </c>
      <c r="I30">
        <v>20</v>
      </c>
      <c r="J30">
        <v>135200</v>
      </c>
      <c r="K30">
        <v>0</v>
      </c>
      <c r="L30">
        <v>0</v>
      </c>
      <c r="M30">
        <v>135200</v>
      </c>
      <c r="O30" s="2" t="str">
        <f t="shared" si="3"/>
        <v>GLOVE-17-BLACK-M</v>
      </c>
      <c r="P30">
        <f t="shared" si="3"/>
        <v>1</v>
      </c>
      <c r="R30">
        <f t="shared" si="1"/>
        <v>169000</v>
      </c>
      <c r="S30">
        <f t="shared" si="2"/>
        <v>0.2</v>
      </c>
    </row>
    <row r="31" spans="1:19">
      <c r="H31">
        <f>SUM(H3:H30)</f>
        <v>28</v>
      </c>
      <c r="J31">
        <f>SUM(J3:J30)</f>
        <v>5093600</v>
      </c>
      <c r="M31">
        <f>SUM(M3:M30)</f>
        <v>5093600</v>
      </c>
      <c r="P31">
        <f>SUM(P3:P30)</f>
        <v>28</v>
      </c>
    </row>
    <row r="32" spans="1:19" ht="26.25">
      <c r="A32" s="4" t="s">
        <v>104</v>
      </c>
    </row>
    <row r="33" spans="1:19">
      <c r="A33">
        <v>614647</v>
      </c>
      <c r="B33" t="s">
        <v>58</v>
      </c>
      <c r="C33" t="s">
        <v>14</v>
      </c>
      <c r="D33" t="s">
        <v>15</v>
      </c>
      <c r="E33" t="s">
        <v>16</v>
      </c>
      <c r="F33">
        <v>101356</v>
      </c>
      <c r="G33" t="s">
        <v>26</v>
      </c>
      <c r="H33">
        <v>1</v>
      </c>
      <c r="I33">
        <v>50</v>
      </c>
      <c r="J33">
        <v>149500</v>
      </c>
      <c r="O33" s="2" t="str">
        <f t="shared" ref="O33:O52" si="4">MID(G33,1,3)&amp;" "&amp;MID(G33,4,7)&amp;"/"&amp;MID(G33,11,2)&amp;" "&amp;MID(G33,13,2)</f>
        <v>AJD CX00137/05 L</v>
      </c>
      <c r="P33">
        <v>1</v>
      </c>
      <c r="R33">
        <f t="shared" ref="R33:R59" si="5">J33/(1-S33)/H33</f>
        <v>299000</v>
      </c>
      <c r="S33">
        <f t="shared" ref="S33:S59" si="6">I33*1%</f>
        <v>0.5</v>
      </c>
    </row>
    <row r="34" spans="1:19">
      <c r="A34">
        <v>614649</v>
      </c>
      <c r="B34" t="s">
        <v>58</v>
      </c>
      <c r="C34" t="s">
        <v>14</v>
      </c>
      <c r="D34" t="s">
        <v>15</v>
      </c>
      <c r="E34" t="s">
        <v>16</v>
      </c>
      <c r="F34">
        <v>100061</v>
      </c>
      <c r="G34" t="s">
        <v>59</v>
      </c>
      <c r="H34">
        <v>1</v>
      </c>
      <c r="I34">
        <v>20</v>
      </c>
      <c r="J34">
        <v>199200</v>
      </c>
      <c r="O34" s="2" t="str">
        <f t="shared" si="4"/>
        <v>CLN CX90047/02 L</v>
      </c>
      <c r="P34">
        <v>1</v>
      </c>
      <c r="R34">
        <f t="shared" si="5"/>
        <v>249000</v>
      </c>
      <c r="S34">
        <f t="shared" si="6"/>
        <v>0.2</v>
      </c>
    </row>
    <row r="35" spans="1:19">
      <c r="A35">
        <v>614650</v>
      </c>
      <c r="B35" t="s">
        <v>58</v>
      </c>
      <c r="C35" t="s">
        <v>14</v>
      </c>
      <c r="D35" t="s">
        <v>15</v>
      </c>
      <c r="E35" t="s">
        <v>16</v>
      </c>
      <c r="F35">
        <v>93954</v>
      </c>
      <c r="G35" t="s">
        <v>21</v>
      </c>
      <c r="H35">
        <v>1</v>
      </c>
      <c r="I35">
        <v>20</v>
      </c>
      <c r="J35">
        <v>239920</v>
      </c>
      <c r="O35" s="2" t="str">
        <f t="shared" si="4"/>
        <v>ADD CN00027/02 M</v>
      </c>
      <c r="P35">
        <v>1</v>
      </c>
      <c r="R35">
        <f t="shared" si="5"/>
        <v>299900</v>
      </c>
      <c r="S35">
        <f t="shared" si="6"/>
        <v>0.2</v>
      </c>
    </row>
    <row r="36" spans="1:19">
      <c r="A36">
        <v>614653</v>
      </c>
      <c r="B36" t="s">
        <v>58</v>
      </c>
      <c r="C36" t="s">
        <v>14</v>
      </c>
      <c r="D36" t="s">
        <v>15</v>
      </c>
      <c r="E36" t="s">
        <v>16</v>
      </c>
      <c r="F36">
        <v>99346</v>
      </c>
      <c r="G36" t="s">
        <v>60</v>
      </c>
      <c r="H36">
        <v>1</v>
      </c>
      <c r="I36">
        <v>30</v>
      </c>
      <c r="J36">
        <v>321930</v>
      </c>
      <c r="O36" s="2" t="str">
        <f t="shared" si="4"/>
        <v>ROK CI00132/01 XL</v>
      </c>
      <c r="P36">
        <v>1</v>
      </c>
      <c r="R36">
        <f t="shared" si="5"/>
        <v>459900.00000000006</v>
      </c>
      <c r="S36">
        <f t="shared" si="6"/>
        <v>0.3</v>
      </c>
    </row>
    <row r="37" spans="1:19">
      <c r="A37">
        <v>614654</v>
      </c>
      <c r="B37" t="s">
        <v>58</v>
      </c>
      <c r="C37" t="s">
        <v>14</v>
      </c>
      <c r="D37" t="s">
        <v>15</v>
      </c>
      <c r="E37" t="s">
        <v>16</v>
      </c>
      <c r="F37">
        <v>96979</v>
      </c>
      <c r="G37" t="s">
        <v>61</v>
      </c>
      <c r="H37">
        <v>1</v>
      </c>
      <c r="I37">
        <v>20</v>
      </c>
      <c r="J37">
        <v>239200</v>
      </c>
      <c r="O37" s="2" t="str">
        <f t="shared" si="4"/>
        <v>APJ CX90134/02 L</v>
      </c>
      <c r="P37">
        <v>1</v>
      </c>
      <c r="R37">
        <f t="shared" si="5"/>
        <v>299000</v>
      </c>
      <c r="S37">
        <f t="shared" si="6"/>
        <v>0.2</v>
      </c>
    </row>
    <row r="38" spans="1:19">
      <c r="A38">
        <v>614659</v>
      </c>
      <c r="B38" t="s">
        <v>58</v>
      </c>
      <c r="C38" t="s">
        <v>14</v>
      </c>
      <c r="D38" t="s">
        <v>15</v>
      </c>
      <c r="E38" t="s">
        <v>16</v>
      </c>
      <c r="F38">
        <v>99458</v>
      </c>
      <c r="G38" t="s">
        <v>34</v>
      </c>
      <c r="H38">
        <v>1</v>
      </c>
      <c r="I38">
        <v>50</v>
      </c>
      <c r="J38">
        <v>149750</v>
      </c>
      <c r="O38" s="2" t="str">
        <f t="shared" si="4"/>
        <v>AJJ CB00221/14 L</v>
      </c>
      <c r="P38">
        <v>1</v>
      </c>
      <c r="R38">
        <f t="shared" si="5"/>
        <v>299500</v>
      </c>
      <c r="S38">
        <f t="shared" si="6"/>
        <v>0.5</v>
      </c>
    </row>
    <row r="39" spans="1:19">
      <c r="A39">
        <v>614659</v>
      </c>
      <c r="B39" t="s">
        <v>58</v>
      </c>
      <c r="C39" t="s">
        <v>14</v>
      </c>
      <c r="D39" t="s">
        <v>15</v>
      </c>
      <c r="E39" t="s">
        <v>16</v>
      </c>
      <c r="F39">
        <v>91402</v>
      </c>
      <c r="G39" t="s">
        <v>62</v>
      </c>
      <c r="H39">
        <v>1</v>
      </c>
      <c r="I39">
        <v>50</v>
      </c>
      <c r="J39">
        <v>149750</v>
      </c>
      <c r="O39" s="2" t="str">
        <f t="shared" si="4"/>
        <v>AJJ CB00221/01 XL</v>
      </c>
      <c r="P39">
        <v>1</v>
      </c>
      <c r="R39">
        <f t="shared" si="5"/>
        <v>299500</v>
      </c>
      <c r="S39">
        <f t="shared" si="6"/>
        <v>0.5</v>
      </c>
    </row>
    <row r="40" spans="1:19">
      <c r="A40">
        <v>614659</v>
      </c>
      <c r="B40" t="s">
        <v>58</v>
      </c>
      <c r="C40" t="s">
        <v>14</v>
      </c>
      <c r="D40" t="s">
        <v>15</v>
      </c>
      <c r="E40" t="s">
        <v>16</v>
      </c>
      <c r="F40">
        <v>91407</v>
      </c>
      <c r="G40" t="s">
        <v>63</v>
      </c>
      <c r="H40">
        <v>1</v>
      </c>
      <c r="I40">
        <v>50</v>
      </c>
      <c r="J40">
        <v>149750</v>
      </c>
      <c r="O40" s="2" t="str">
        <f t="shared" si="4"/>
        <v>AJJ CB00221/02 XL</v>
      </c>
      <c r="P40">
        <v>1</v>
      </c>
      <c r="R40">
        <f t="shared" si="5"/>
        <v>299500</v>
      </c>
      <c r="S40">
        <f t="shared" si="6"/>
        <v>0.5</v>
      </c>
    </row>
    <row r="41" spans="1:19">
      <c r="A41">
        <v>614659</v>
      </c>
      <c r="B41" t="s">
        <v>58</v>
      </c>
      <c r="C41" t="s">
        <v>14</v>
      </c>
      <c r="D41" t="s">
        <v>15</v>
      </c>
      <c r="E41" t="s">
        <v>16</v>
      </c>
      <c r="F41">
        <v>91443</v>
      </c>
      <c r="G41" t="s">
        <v>40</v>
      </c>
      <c r="H41">
        <v>1</v>
      </c>
      <c r="I41">
        <v>50</v>
      </c>
      <c r="J41">
        <v>149750</v>
      </c>
      <c r="O41" s="2" t="str">
        <f t="shared" si="4"/>
        <v>AJJ CB00221/03 L</v>
      </c>
      <c r="P41">
        <v>1</v>
      </c>
      <c r="R41">
        <f t="shared" si="5"/>
        <v>299500</v>
      </c>
      <c r="S41">
        <f t="shared" si="6"/>
        <v>0.5</v>
      </c>
    </row>
    <row r="42" spans="1:19">
      <c r="A42">
        <v>614660</v>
      </c>
      <c r="B42" t="s">
        <v>58</v>
      </c>
      <c r="C42" t="s">
        <v>14</v>
      </c>
      <c r="D42" t="s">
        <v>15</v>
      </c>
      <c r="E42" t="s">
        <v>16</v>
      </c>
      <c r="F42">
        <v>91399</v>
      </c>
      <c r="G42" t="s">
        <v>64</v>
      </c>
      <c r="H42">
        <v>1</v>
      </c>
      <c r="I42">
        <v>50</v>
      </c>
      <c r="J42">
        <v>149750</v>
      </c>
      <c r="O42" s="2" t="str">
        <f t="shared" si="4"/>
        <v>AJJ CB00221/01 S</v>
      </c>
      <c r="P42">
        <v>1</v>
      </c>
      <c r="R42">
        <f t="shared" si="5"/>
        <v>299500</v>
      </c>
      <c r="S42">
        <f t="shared" si="6"/>
        <v>0.5</v>
      </c>
    </row>
    <row r="43" spans="1:19">
      <c r="A43">
        <v>614660</v>
      </c>
      <c r="B43" t="s">
        <v>58</v>
      </c>
      <c r="C43" t="s">
        <v>14</v>
      </c>
      <c r="D43" t="s">
        <v>15</v>
      </c>
      <c r="E43" t="s">
        <v>16</v>
      </c>
      <c r="F43">
        <v>91404</v>
      </c>
      <c r="G43" t="s">
        <v>37</v>
      </c>
      <c r="H43">
        <v>1</v>
      </c>
      <c r="I43">
        <v>50</v>
      </c>
      <c r="J43">
        <v>149750</v>
      </c>
      <c r="O43" s="2" t="str">
        <f t="shared" si="4"/>
        <v>AJJ CB00221/02 S</v>
      </c>
      <c r="P43">
        <v>1</v>
      </c>
      <c r="R43">
        <f t="shared" si="5"/>
        <v>299500</v>
      </c>
      <c r="S43">
        <f t="shared" si="6"/>
        <v>0.5</v>
      </c>
    </row>
    <row r="44" spans="1:19">
      <c r="A44">
        <v>614664</v>
      </c>
      <c r="B44" t="s">
        <v>58</v>
      </c>
      <c r="C44" t="s">
        <v>14</v>
      </c>
      <c r="D44" t="s">
        <v>15</v>
      </c>
      <c r="E44" t="s">
        <v>16</v>
      </c>
      <c r="F44">
        <v>101704</v>
      </c>
      <c r="G44" t="s">
        <v>65</v>
      </c>
      <c r="H44">
        <v>1</v>
      </c>
      <c r="I44">
        <v>50</v>
      </c>
      <c r="J44">
        <v>149500</v>
      </c>
      <c r="O44" s="2" t="str">
        <f t="shared" si="4"/>
        <v>AJJ CX00136/08 S</v>
      </c>
      <c r="P44">
        <v>1</v>
      </c>
      <c r="R44">
        <f t="shared" si="5"/>
        <v>299000</v>
      </c>
      <c r="S44">
        <f t="shared" si="6"/>
        <v>0.5</v>
      </c>
    </row>
    <row r="45" spans="1:19">
      <c r="A45">
        <v>614664</v>
      </c>
      <c r="B45" t="s">
        <v>58</v>
      </c>
      <c r="C45" t="s">
        <v>14</v>
      </c>
      <c r="D45" t="s">
        <v>15</v>
      </c>
      <c r="E45" t="s">
        <v>16</v>
      </c>
      <c r="F45">
        <v>91400</v>
      </c>
      <c r="G45" t="s">
        <v>18</v>
      </c>
      <c r="H45">
        <v>1</v>
      </c>
      <c r="I45">
        <v>50</v>
      </c>
      <c r="J45">
        <v>149750</v>
      </c>
      <c r="O45" s="2" t="str">
        <f t="shared" si="4"/>
        <v>AJJ CB00221/01 M</v>
      </c>
      <c r="P45">
        <v>1</v>
      </c>
      <c r="R45">
        <f t="shared" si="5"/>
        <v>299500</v>
      </c>
      <c r="S45">
        <f t="shared" si="6"/>
        <v>0.5</v>
      </c>
    </row>
    <row r="46" spans="1:19">
      <c r="A46">
        <v>614664</v>
      </c>
      <c r="B46" t="s">
        <v>58</v>
      </c>
      <c r="C46" t="s">
        <v>14</v>
      </c>
      <c r="D46" t="s">
        <v>15</v>
      </c>
      <c r="E46" t="s">
        <v>16</v>
      </c>
      <c r="F46">
        <v>91405</v>
      </c>
      <c r="G46" t="s">
        <v>66</v>
      </c>
      <c r="H46">
        <v>1</v>
      </c>
      <c r="I46">
        <v>50</v>
      </c>
      <c r="J46">
        <v>149750</v>
      </c>
      <c r="O46" s="2" t="str">
        <f t="shared" si="4"/>
        <v>AJJ CB00221/02 M</v>
      </c>
      <c r="P46">
        <v>1</v>
      </c>
      <c r="R46">
        <f t="shared" si="5"/>
        <v>299500</v>
      </c>
      <c r="S46">
        <f t="shared" si="6"/>
        <v>0.5</v>
      </c>
    </row>
    <row r="47" spans="1:19">
      <c r="A47">
        <v>614664</v>
      </c>
      <c r="B47" t="s">
        <v>58</v>
      </c>
      <c r="C47" t="s">
        <v>14</v>
      </c>
      <c r="D47" t="s">
        <v>15</v>
      </c>
      <c r="E47" t="s">
        <v>16</v>
      </c>
      <c r="F47">
        <v>94420</v>
      </c>
      <c r="G47" t="s">
        <v>67</v>
      </c>
      <c r="H47">
        <v>1</v>
      </c>
      <c r="I47">
        <v>30</v>
      </c>
      <c r="J47">
        <v>300930</v>
      </c>
      <c r="O47" s="2" t="str">
        <f t="shared" si="4"/>
        <v>ROK CI00024/15 M</v>
      </c>
      <c r="P47">
        <v>1</v>
      </c>
      <c r="R47">
        <f t="shared" si="5"/>
        <v>429900</v>
      </c>
      <c r="S47">
        <f t="shared" si="6"/>
        <v>0.3</v>
      </c>
    </row>
    <row r="48" spans="1:19">
      <c r="A48">
        <v>614724</v>
      </c>
      <c r="B48" t="s">
        <v>58</v>
      </c>
      <c r="C48" t="s">
        <v>14</v>
      </c>
      <c r="D48" t="s">
        <v>15</v>
      </c>
      <c r="E48" t="s">
        <v>16</v>
      </c>
      <c r="F48">
        <v>95957</v>
      </c>
      <c r="G48" t="s">
        <v>68</v>
      </c>
      <c r="H48">
        <v>1</v>
      </c>
      <c r="I48">
        <v>30</v>
      </c>
      <c r="J48">
        <v>244930</v>
      </c>
      <c r="O48" s="2" t="str">
        <f t="shared" si="4"/>
        <v>CLN CI00105/02 L</v>
      </c>
      <c r="P48">
        <v>1</v>
      </c>
      <c r="R48">
        <f t="shared" si="5"/>
        <v>349900</v>
      </c>
      <c r="S48">
        <f t="shared" si="6"/>
        <v>0.3</v>
      </c>
    </row>
    <row r="49" spans="1:19">
      <c r="A49">
        <v>614877</v>
      </c>
      <c r="B49" t="s">
        <v>58</v>
      </c>
      <c r="C49" t="s">
        <v>14</v>
      </c>
      <c r="D49" t="s">
        <v>15</v>
      </c>
      <c r="E49" t="s">
        <v>16</v>
      </c>
      <c r="F49">
        <v>101013</v>
      </c>
      <c r="G49" t="s">
        <v>69</v>
      </c>
      <c r="H49">
        <v>1</v>
      </c>
      <c r="I49">
        <v>30</v>
      </c>
      <c r="J49">
        <v>209930</v>
      </c>
      <c r="O49" s="2" t="str">
        <f t="shared" si="4"/>
        <v>APJ CI00033/07 XL</v>
      </c>
      <c r="P49">
        <v>1</v>
      </c>
      <c r="R49">
        <f t="shared" si="5"/>
        <v>299900</v>
      </c>
      <c r="S49">
        <f t="shared" si="6"/>
        <v>0.3</v>
      </c>
    </row>
    <row r="50" spans="1:19">
      <c r="A50">
        <v>614877</v>
      </c>
      <c r="B50" t="s">
        <v>58</v>
      </c>
      <c r="C50" t="s">
        <v>14</v>
      </c>
      <c r="D50" t="s">
        <v>15</v>
      </c>
      <c r="E50" t="s">
        <v>16</v>
      </c>
      <c r="F50">
        <v>92471</v>
      </c>
      <c r="G50" t="s">
        <v>19</v>
      </c>
      <c r="H50">
        <v>1</v>
      </c>
      <c r="I50">
        <v>30</v>
      </c>
      <c r="J50">
        <v>139930</v>
      </c>
      <c r="O50" s="2" t="str">
        <f t="shared" si="4"/>
        <v>ACC HJ00021/05 S</v>
      </c>
      <c r="P50">
        <v>1</v>
      </c>
      <c r="R50">
        <f t="shared" si="5"/>
        <v>199900</v>
      </c>
      <c r="S50">
        <f t="shared" si="6"/>
        <v>0.3</v>
      </c>
    </row>
    <row r="51" spans="1:19">
      <c r="A51">
        <v>614934</v>
      </c>
      <c r="B51" t="s">
        <v>58</v>
      </c>
      <c r="C51" t="s">
        <v>14</v>
      </c>
      <c r="D51" t="s">
        <v>15</v>
      </c>
      <c r="E51" t="s">
        <v>16</v>
      </c>
      <c r="F51">
        <v>92167</v>
      </c>
      <c r="G51" t="s">
        <v>70</v>
      </c>
      <c r="H51">
        <v>1</v>
      </c>
      <c r="I51">
        <v>30</v>
      </c>
      <c r="J51">
        <v>251930</v>
      </c>
      <c r="O51" s="2" t="str">
        <f t="shared" si="4"/>
        <v>ATS CI00071/02 M</v>
      </c>
      <c r="P51">
        <v>1</v>
      </c>
      <c r="R51">
        <f t="shared" si="5"/>
        <v>359900</v>
      </c>
      <c r="S51">
        <f t="shared" si="6"/>
        <v>0.3</v>
      </c>
    </row>
    <row r="52" spans="1:19">
      <c r="A52">
        <v>615007</v>
      </c>
      <c r="B52" t="s">
        <v>58</v>
      </c>
      <c r="C52" t="s">
        <v>14</v>
      </c>
      <c r="D52" t="s">
        <v>15</v>
      </c>
      <c r="E52" t="s">
        <v>16</v>
      </c>
      <c r="F52">
        <v>96628</v>
      </c>
      <c r="G52" t="s">
        <v>71</v>
      </c>
      <c r="H52">
        <v>1</v>
      </c>
      <c r="I52">
        <v>30</v>
      </c>
      <c r="J52">
        <v>314930</v>
      </c>
      <c r="O52" s="2" t="str">
        <f t="shared" si="4"/>
        <v>CPJ CI00107/04 M</v>
      </c>
      <c r="P52">
        <v>1</v>
      </c>
      <c r="R52">
        <f t="shared" si="5"/>
        <v>449900</v>
      </c>
      <c r="S52">
        <f t="shared" si="6"/>
        <v>0.3</v>
      </c>
    </row>
    <row r="53" spans="1:19">
      <c r="A53">
        <v>614587</v>
      </c>
      <c r="B53" t="s">
        <v>58</v>
      </c>
      <c r="C53" t="s">
        <v>20</v>
      </c>
      <c r="D53" t="s">
        <v>15</v>
      </c>
      <c r="E53" t="s">
        <v>16</v>
      </c>
      <c r="F53">
        <v>97654</v>
      </c>
      <c r="G53" t="s">
        <v>53</v>
      </c>
      <c r="H53">
        <v>1</v>
      </c>
      <c r="J53">
        <v>119000</v>
      </c>
      <c r="O53" s="2" t="str">
        <f t="shared" ref="O53:P59" si="7">G53</f>
        <v>KNEESUPPORT-18-PUREBLACK-L</v>
      </c>
      <c r="P53">
        <f t="shared" si="7"/>
        <v>1</v>
      </c>
      <c r="R53">
        <f t="shared" si="5"/>
        <v>119000</v>
      </c>
      <c r="S53">
        <f t="shared" si="6"/>
        <v>0</v>
      </c>
    </row>
    <row r="54" spans="1:19">
      <c r="A54">
        <v>614625</v>
      </c>
      <c r="B54" t="s">
        <v>58</v>
      </c>
      <c r="C54" t="s">
        <v>20</v>
      </c>
      <c r="D54" t="s">
        <v>15</v>
      </c>
      <c r="E54" t="s">
        <v>16</v>
      </c>
      <c r="F54">
        <v>101760</v>
      </c>
      <c r="G54" t="s">
        <v>72</v>
      </c>
      <c r="H54">
        <v>1</v>
      </c>
      <c r="I54">
        <v>20</v>
      </c>
      <c r="J54">
        <v>719200</v>
      </c>
      <c r="O54" s="2" t="str">
        <f t="shared" si="7"/>
        <v>BAG-25-BLACK</v>
      </c>
      <c r="P54">
        <f t="shared" si="7"/>
        <v>1</v>
      </c>
      <c r="R54">
        <f t="shared" si="5"/>
        <v>899000</v>
      </c>
      <c r="S54">
        <f t="shared" si="6"/>
        <v>0.2</v>
      </c>
    </row>
    <row r="55" spans="1:19">
      <c r="A55">
        <v>614661</v>
      </c>
      <c r="B55" t="s">
        <v>58</v>
      </c>
      <c r="C55" t="s">
        <v>20</v>
      </c>
      <c r="D55" t="s">
        <v>15</v>
      </c>
      <c r="E55" t="s">
        <v>16</v>
      </c>
      <c r="F55">
        <v>91351</v>
      </c>
      <c r="G55" t="s">
        <v>31</v>
      </c>
      <c r="H55">
        <v>1</v>
      </c>
      <c r="I55">
        <v>20</v>
      </c>
      <c r="J55">
        <v>183200</v>
      </c>
      <c r="O55" s="2" t="str">
        <f t="shared" si="7"/>
        <v>FOAMROLLER-01-BLUE</v>
      </c>
      <c r="P55">
        <f t="shared" si="7"/>
        <v>1</v>
      </c>
      <c r="R55">
        <f t="shared" si="5"/>
        <v>229000</v>
      </c>
      <c r="S55">
        <f t="shared" si="6"/>
        <v>0.2</v>
      </c>
    </row>
    <row r="56" spans="1:19">
      <c r="A56">
        <v>614855</v>
      </c>
      <c r="B56" t="s">
        <v>58</v>
      </c>
      <c r="C56" t="s">
        <v>20</v>
      </c>
      <c r="D56" t="s">
        <v>15</v>
      </c>
      <c r="E56" t="s">
        <v>16</v>
      </c>
      <c r="F56">
        <v>99090</v>
      </c>
      <c r="G56" t="s">
        <v>73</v>
      </c>
      <c r="H56">
        <v>1</v>
      </c>
      <c r="J56">
        <v>79000</v>
      </c>
      <c r="O56" s="2" t="str">
        <f t="shared" si="7"/>
        <v>ANKLESUPPORT-03-BLACK-S</v>
      </c>
      <c r="P56">
        <f t="shared" si="7"/>
        <v>1</v>
      </c>
      <c r="R56">
        <f t="shared" si="5"/>
        <v>79000</v>
      </c>
      <c r="S56">
        <f t="shared" si="6"/>
        <v>0</v>
      </c>
    </row>
    <row r="57" spans="1:19">
      <c r="A57">
        <v>614938</v>
      </c>
      <c r="B57" t="s">
        <v>58</v>
      </c>
      <c r="C57" t="s">
        <v>20</v>
      </c>
      <c r="D57" t="s">
        <v>15</v>
      </c>
      <c r="E57" t="s">
        <v>16</v>
      </c>
      <c r="F57">
        <v>91289</v>
      </c>
      <c r="G57" t="s">
        <v>74</v>
      </c>
      <c r="H57">
        <v>1</v>
      </c>
      <c r="J57">
        <v>59000</v>
      </c>
      <c r="O57" s="2" t="str">
        <f t="shared" si="7"/>
        <v>FABRICBAND-04-LIGHTGREY-LIGHT</v>
      </c>
      <c r="P57">
        <f t="shared" si="7"/>
        <v>1</v>
      </c>
      <c r="R57">
        <f t="shared" si="5"/>
        <v>59000</v>
      </c>
      <c r="S57">
        <f t="shared" si="6"/>
        <v>0</v>
      </c>
    </row>
    <row r="58" spans="1:19">
      <c r="A58">
        <v>614968</v>
      </c>
      <c r="B58" t="s">
        <v>58</v>
      </c>
      <c r="C58" t="s">
        <v>20</v>
      </c>
      <c r="D58" t="s">
        <v>15</v>
      </c>
      <c r="E58" t="s">
        <v>16</v>
      </c>
      <c r="F58">
        <v>94088</v>
      </c>
      <c r="G58" t="s">
        <v>24</v>
      </c>
      <c r="H58">
        <v>1</v>
      </c>
      <c r="J58">
        <v>99000</v>
      </c>
      <c r="O58" s="2" t="str">
        <f t="shared" si="7"/>
        <v>SOCKS-04-WHITE</v>
      </c>
      <c r="P58">
        <f t="shared" si="7"/>
        <v>1</v>
      </c>
      <c r="R58">
        <f t="shared" si="5"/>
        <v>99000</v>
      </c>
      <c r="S58">
        <f t="shared" si="6"/>
        <v>0</v>
      </c>
    </row>
    <row r="59" spans="1:19">
      <c r="A59">
        <v>614976</v>
      </c>
      <c r="B59" t="s">
        <v>58</v>
      </c>
      <c r="C59" t="s">
        <v>20</v>
      </c>
      <c r="D59" t="s">
        <v>15</v>
      </c>
      <c r="E59" t="s">
        <v>16</v>
      </c>
      <c r="F59">
        <v>91350</v>
      </c>
      <c r="G59" t="s">
        <v>75</v>
      </c>
      <c r="H59">
        <v>1</v>
      </c>
      <c r="J59">
        <v>229000</v>
      </c>
      <c r="O59" s="2" t="str">
        <f t="shared" si="7"/>
        <v>FOAMROLLER-01-PINK</v>
      </c>
      <c r="P59">
        <f t="shared" si="7"/>
        <v>1</v>
      </c>
      <c r="R59">
        <f t="shared" si="5"/>
        <v>229000</v>
      </c>
      <c r="S59">
        <f t="shared" si="6"/>
        <v>0</v>
      </c>
    </row>
    <row r="60" spans="1:19">
      <c r="H60">
        <f>SUM(H33:H59)</f>
        <v>27</v>
      </c>
      <c r="J60">
        <f>SUM(J33:J59)</f>
        <v>5447230</v>
      </c>
    </row>
    <row r="62" spans="1:19">
      <c r="A62">
        <v>615584</v>
      </c>
      <c r="B62" t="s">
        <v>76</v>
      </c>
      <c r="C62" t="s">
        <v>14</v>
      </c>
      <c r="D62" t="s">
        <v>15</v>
      </c>
      <c r="E62" t="s">
        <v>16</v>
      </c>
      <c r="F62">
        <v>101784</v>
      </c>
      <c r="G62" t="s">
        <v>77</v>
      </c>
      <c r="H62">
        <v>1</v>
      </c>
      <c r="I62">
        <v>50</v>
      </c>
      <c r="J62">
        <v>149500</v>
      </c>
      <c r="O62" s="2" t="str">
        <f t="shared" ref="O62:O86" si="8">MID(G62,1,3)&amp;" "&amp;MID(G62,4,7)&amp;"/"&amp;MID(G62,11,2)&amp;" "&amp;MID(G62,13,2)</f>
        <v>AJJ CX00136/10 XL</v>
      </c>
      <c r="P62">
        <v>1</v>
      </c>
      <c r="R62">
        <f t="shared" ref="R62:R91" si="9">J62/(1-S62)/H62</f>
        <v>299000</v>
      </c>
      <c r="S62">
        <f t="shared" ref="S62:S91" si="10">I62*1%</f>
        <v>0.5</v>
      </c>
    </row>
    <row r="63" spans="1:19">
      <c r="A63">
        <v>615590</v>
      </c>
      <c r="B63" t="s">
        <v>76</v>
      </c>
      <c r="C63" t="s">
        <v>14</v>
      </c>
      <c r="D63" t="s">
        <v>15</v>
      </c>
      <c r="E63" t="s">
        <v>16</v>
      </c>
      <c r="F63">
        <v>101514</v>
      </c>
      <c r="G63" t="s">
        <v>78</v>
      </c>
      <c r="H63">
        <v>1</v>
      </c>
      <c r="I63">
        <v>50</v>
      </c>
      <c r="J63">
        <v>199500</v>
      </c>
      <c r="O63" s="2" t="str">
        <f t="shared" si="8"/>
        <v>CPJ CX00134/06 XL</v>
      </c>
      <c r="P63">
        <v>1</v>
      </c>
      <c r="R63">
        <f t="shared" si="9"/>
        <v>399000</v>
      </c>
      <c r="S63">
        <f t="shared" si="10"/>
        <v>0.5</v>
      </c>
    </row>
    <row r="64" spans="1:19">
      <c r="A64">
        <v>615659</v>
      </c>
      <c r="B64" t="s">
        <v>76</v>
      </c>
      <c r="C64" t="s">
        <v>14</v>
      </c>
      <c r="D64" t="s">
        <v>15</v>
      </c>
      <c r="E64" t="s">
        <v>16</v>
      </c>
      <c r="F64">
        <v>101022</v>
      </c>
      <c r="G64" t="s">
        <v>79</v>
      </c>
      <c r="H64">
        <v>1</v>
      </c>
      <c r="I64">
        <v>30</v>
      </c>
      <c r="J64">
        <v>300930</v>
      </c>
      <c r="O64" s="2" t="str">
        <f t="shared" si="8"/>
        <v>ROK CI00024/24 XL</v>
      </c>
      <c r="P64">
        <v>1</v>
      </c>
      <c r="R64">
        <f t="shared" si="9"/>
        <v>429900</v>
      </c>
      <c r="S64">
        <f t="shared" si="10"/>
        <v>0.3</v>
      </c>
    </row>
    <row r="65" spans="1:19">
      <c r="A65">
        <v>615659</v>
      </c>
      <c r="B65" t="s">
        <v>76</v>
      </c>
      <c r="C65" t="s">
        <v>14</v>
      </c>
      <c r="D65" t="s">
        <v>15</v>
      </c>
      <c r="E65" t="s">
        <v>16</v>
      </c>
      <c r="F65">
        <v>87728</v>
      </c>
      <c r="G65" t="s">
        <v>80</v>
      </c>
      <c r="H65">
        <v>1</v>
      </c>
      <c r="I65">
        <v>30</v>
      </c>
      <c r="J65">
        <v>300930</v>
      </c>
      <c r="O65" s="2" t="str">
        <f t="shared" si="8"/>
        <v>ROK CI00024/04 XL</v>
      </c>
      <c r="P65">
        <v>1</v>
      </c>
      <c r="R65">
        <f t="shared" si="9"/>
        <v>429900</v>
      </c>
      <c r="S65">
        <f t="shared" si="10"/>
        <v>0.3</v>
      </c>
    </row>
    <row r="66" spans="1:19">
      <c r="A66">
        <v>615659</v>
      </c>
      <c r="B66" t="s">
        <v>76</v>
      </c>
      <c r="C66" t="s">
        <v>14</v>
      </c>
      <c r="D66" t="s">
        <v>15</v>
      </c>
      <c r="E66" t="s">
        <v>16</v>
      </c>
      <c r="F66">
        <v>87685</v>
      </c>
      <c r="G66" t="s">
        <v>36</v>
      </c>
      <c r="H66">
        <v>1</v>
      </c>
      <c r="I66">
        <v>30</v>
      </c>
      <c r="J66">
        <v>300930</v>
      </c>
      <c r="O66" s="2" t="str">
        <f t="shared" si="8"/>
        <v>ROK CI00024/01 XL</v>
      </c>
      <c r="P66">
        <v>1</v>
      </c>
      <c r="R66">
        <f t="shared" si="9"/>
        <v>429900</v>
      </c>
      <c r="S66">
        <f t="shared" si="10"/>
        <v>0.3</v>
      </c>
    </row>
    <row r="67" spans="1:19">
      <c r="A67">
        <v>615659</v>
      </c>
      <c r="B67" t="s">
        <v>76</v>
      </c>
      <c r="C67" t="s">
        <v>14</v>
      </c>
      <c r="D67" t="s">
        <v>15</v>
      </c>
      <c r="E67" t="s">
        <v>16</v>
      </c>
      <c r="F67">
        <v>92988</v>
      </c>
      <c r="G67" t="s">
        <v>81</v>
      </c>
      <c r="H67">
        <v>1</v>
      </c>
      <c r="I67">
        <v>20</v>
      </c>
      <c r="J67">
        <v>359920</v>
      </c>
      <c r="O67" s="2" t="str">
        <f t="shared" si="8"/>
        <v>CRK CN00024/09 XL</v>
      </c>
      <c r="P67">
        <v>1</v>
      </c>
      <c r="R67">
        <f t="shared" si="9"/>
        <v>449900</v>
      </c>
      <c r="S67">
        <f t="shared" si="10"/>
        <v>0.2</v>
      </c>
    </row>
    <row r="68" spans="1:19">
      <c r="A68">
        <v>615659</v>
      </c>
      <c r="B68" t="s">
        <v>76</v>
      </c>
      <c r="C68" t="s">
        <v>14</v>
      </c>
      <c r="D68" t="s">
        <v>15</v>
      </c>
      <c r="E68" t="s">
        <v>16</v>
      </c>
      <c r="F68">
        <v>101515</v>
      </c>
      <c r="G68" t="s">
        <v>82</v>
      </c>
      <c r="H68">
        <v>1</v>
      </c>
      <c r="I68">
        <v>50</v>
      </c>
      <c r="J68">
        <v>199500</v>
      </c>
      <c r="O68" s="2" t="str">
        <f t="shared" si="8"/>
        <v>CPJ CX00134/06 2L</v>
      </c>
      <c r="P68">
        <v>1</v>
      </c>
      <c r="R68">
        <f t="shared" si="9"/>
        <v>399000</v>
      </c>
      <c r="S68">
        <f t="shared" si="10"/>
        <v>0.5</v>
      </c>
    </row>
    <row r="69" spans="1:19">
      <c r="A69">
        <v>615684</v>
      </c>
      <c r="B69" t="s">
        <v>76</v>
      </c>
      <c r="C69" t="s">
        <v>14</v>
      </c>
      <c r="D69" t="s">
        <v>15</v>
      </c>
      <c r="E69" t="s">
        <v>16</v>
      </c>
      <c r="F69">
        <v>101705</v>
      </c>
      <c r="G69" t="s">
        <v>83</v>
      </c>
      <c r="H69">
        <v>1</v>
      </c>
      <c r="I69">
        <v>50</v>
      </c>
      <c r="J69">
        <v>149500</v>
      </c>
      <c r="O69" s="2" t="str">
        <f t="shared" si="8"/>
        <v>AJJ CX00136/08 M</v>
      </c>
      <c r="P69">
        <v>1</v>
      </c>
      <c r="R69">
        <f t="shared" si="9"/>
        <v>299000</v>
      </c>
      <c r="S69">
        <f t="shared" si="10"/>
        <v>0.5</v>
      </c>
    </row>
    <row r="70" spans="1:19">
      <c r="A70">
        <v>615684</v>
      </c>
      <c r="B70" t="s">
        <v>76</v>
      </c>
      <c r="C70" t="s">
        <v>14</v>
      </c>
      <c r="D70" t="s">
        <v>15</v>
      </c>
      <c r="E70" t="s">
        <v>16</v>
      </c>
      <c r="F70">
        <v>101782</v>
      </c>
      <c r="G70" t="s">
        <v>84</v>
      </c>
      <c r="H70">
        <v>1</v>
      </c>
      <c r="I70">
        <v>50</v>
      </c>
      <c r="J70">
        <v>149500</v>
      </c>
      <c r="O70" s="2" t="str">
        <f t="shared" si="8"/>
        <v>AJJ CX00136/10 M</v>
      </c>
      <c r="P70">
        <v>1</v>
      </c>
      <c r="R70">
        <f t="shared" si="9"/>
        <v>299000</v>
      </c>
      <c r="S70">
        <f t="shared" si="10"/>
        <v>0.5</v>
      </c>
    </row>
    <row r="71" spans="1:19">
      <c r="A71">
        <v>615774</v>
      </c>
      <c r="B71" t="s">
        <v>76</v>
      </c>
      <c r="C71" t="s">
        <v>14</v>
      </c>
      <c r="D71" t="s">
        <v>15</v>
      </c>
      <c r="E71" t="s">
        <v>16</v>
      </c>
      <c r="F71">
        <v>101679</v>
      </c>
      <c r="G71" t="s">
        <v>85</v>
      </c>
      <c r="H71">
        <v>1</v>
      </c>
      <c r="I71">
        <v>20</v>
      </c>
      <c r="J71">
        <v>319200</v>
      </c>
      <c r="O71" s="2" t="str">
        <f t="shared" si="8"/>
        <v>AJD CX90155/01 L</v>
      </c>
      <c r="P71">
        <v>1</v>
      </c>
      <c r="R71">
        <f t="shared" si="9"/>
        <v>399000</v>
      </c>
      <c r="S71">
        <f t="shared" si="10"/>
        <v>0.2</v>
      </c>
    </row>
    <row r="72" spans="1:19">
      <c r="A72">
        <v>615779</v>
      </c>
      <c r="B72" t="s">
        <v>76</v>
      </c>
      <c r="C72" t="s">
        <v>14</v>
      </c>
      <c r="D72" t="s">
        <v>15</v>
      </c>
      <c r="E72" t="s">
        <v>16</v>
      </c>
      <c r="F72">
        <v>95955</v>
      </c>
      <c r="G72" t="s">
        <v>86</v>
      </c>
      <c r="H72">
        <v>1</v>
      </c>
      <c r="I72">
        <v>30</v>
      </c>
      <c r="J72">
        <v>244930</v>
      </c>
      <c r="O72" s="2" t="str">
        <f t="shared" si="8"/>
        <v>CLN CI00105/02 S</v>
      </c>
      <c r="P72">
        <v>1</v>
      </c>
      <c r="R72">
        <f t="shared" si="9"/>
        <v>349900</v>
      </c>
      <c r="S72">
        <f t="shared" si="10"/>
        <v>0.3</v>
      </c>
    </row>
    <row r="73" spans="1:19">
      <c r="A73">
        <v>615779</v>
      </c>
      <c r="B73" t="s">
        <v>76</v>
      </c>
      <c r="C73" t="s">
        <v>14</v>
      </c>
      <c r="D73" t="s">
        <v>15</v>
      </c>
      <c r="E73" t="s">
        <v>16</v>
      </c>
      <c r="F73">
        <v>100266</v>
      </c>
      <c r="G73" t="s">
        <v>87</v>
      </c>
      <c r="H73">
        <v>1</v>
      </c>
      <c r="I73">
        <v>30</v>
      </c>
      <c r="J73">
        <v>251930</v>
      </c>
      <c r="O73" s="2" t="str">
        <f t="shared" si="8"/>
        <v>ATS CI00106/09 M</v>
      </c>
      <c r="P73">
        <v>1</v>
      </c>
      <c r="R73">
        <f t="shared" si="9"/>
        <v>359900</v>
      </c>
      <c r="S73">
        <f t="shared" si="10"/>
        <v>0.3</v>
      </c>
    </row>
    <row r="74" spans="1:19">
      <c r="A74">
        <v>615825</v>
      </c>
      <c r="B74" t="s">
        <v>76</v>
      </c>
      <c r="C74" t="s">
        <v>14</v>
      </c>
      <c r="D74" t="s">
        <v>15</v>
      </c>
      <c r="E74" t="s">
        <v>16</v>
      </c>
      <c r="F74">
        <v>91784</v>
      </c>
      <c r="G74" t="s">
        <v>88</v>
      </c>
      <c r="H74">
        <v>1</v>
      </c>
      <c r="I74">
        <v>20</v>
      </c>
      <c r="J74">
        <v>239200</v>
      </c>
      <c r="O74" s="2" t="str">
        <f t="shared" si="8"/>
        <v>CLN CX90073/03 L</v>
      </c>
      <c r="P74">
        <v>1</v>
      </c>
      <c r="R74">
        <f t="shared" si="9"/>
        <v>299000</v>
      </c>
      <c r="S74">
        <f t="shared" si="10"/>
        <v>0.2</v>
      </c>
    </row>
    <row r="75" spans="1:19">
      <c r="A75">
        <v>615825</v>
      </c>
      <c r="B75" t="s">
        <v>76</v>
      </c>
      <c r="C75" t="s">
        <v>14</v>
      </c>
      <c r="D75" t="s">
        <v>15</v>
      </c>
      <c r="E75" t="s">
        <v>16</v>
      </c>
      <c r="F75">
        <v>95846</v>
      </c>
      <c r="G75" t="s">
        <v>89</v>
      </c>
      <c r="H75">
        <v>1</v>
      </c>
      <c r="I75">
        <v>20</v>
      </c>
      <c r="J75">
        <v>223200</v>
      </c>
      <c r="O75" s="2" t="str">
        <f t="shared" si="8"/>
        <v>AJD CX90135/02 M</v>
      </c>
      <c r="P75">
        <v>1</v>
      </c>
      <c r="R75">
        <f t="shared" si="9"/>
        <v>279000</v>
      </c>
      <c r="S75">
        <f t="shared" si="10"/>
        <v>0.2</v>
      </c>
    </row>
    <row r="76" spans="1:19">
      <c r="A76">
        <v>615827</v>
      </c>
      <c r="B76" t="s">
        <v>76</v>
      </c>
      <c r="C76" t="s">
        <v>14</v>
      </c>
      <c r="D76" t="s">
        <v>15</v>
      </c>
      <c r="E76" t="s">
        <v>16</v>
      </c>
      <c r="F76">
        <v>99349</v>
      </c>
      <c r="G76" t="s">
        <v>90</v>
      </c>
      <c r="H76">
        <v>1</v>
      </c>
      <c r="I76">
        <v>30</v>
      </c>
      <c r="J76">
        <v>321930</v>
      </c>
      <c r="O76" s="2" t="str">
        <f t="shared" si="8"/>
        <v>ROK CI00132/02 XL</v>
      </c>
      <c r="P76">
        <v>1</v>
      </c>
      <c r="R76">
        <f t="shared" si="9"/>
        <v>459900.00000000006</v>
      </c>
      <c r="S76">
        <f t="shared" si="10"/>
        <v>0.3</v>
      </c>
    </row>
    <row r="77" spans="1:19">
      <c r="A77">
        <v>615827</v>
      </c>
      <c r="B77" t="s">
        <v>76</v>
      </c>
      <c r="C77" t="s">
        <v>14</v>
      </c>
      <c r="D77" t="s">
        <v>15</v>
      </c>
      <c r="E77" t="s">
        <v>16</v>
      </c>
      <c r="F77">
        <v>96808</v>
      </c>
      <c r="G77" t="s">
        <v>91</v>
      </c>
      <c r="H77">
        <v>1</v>
      </c>
      <c r="I77">
        <v>30</v>
      </c>
      <c r="J77">
        <v>314930</v>
      </c>
      <c r="O77" s="2" t="str">
        <f t="shared" si="8"/>
        <v>CPJ CI00107/08 M</v>
      </c>
      <c r="P77">
        <v>1</v>
      </c>
      <c r="R77">
        <f t="shared" si="9"/>
        <v>449900</v>
      </c>
      <c r="S77">
        <f t="shared" si="10"/>
        <v>0.3</v>
      </c>
    </row>
    <row r="78" spans="1:19">
      <c r="A78">
        <v>615829</v>
      </c>
      <c r="B78" t="s">
        <v>76</v>
      </c>
      <c r="C78" t="s">
        <v>14</v>
      </c>
      <c r="D78" t="s">
        <v>15</v>
      </c>
      <c r="E78" t="s">
        <v>16</v>
      </c>
      <c r="F78">
        <v>101616</v>
      </c>
      <c r="G78" t="s">
        <v>30</v>
      </c>
      <c r="H78">
        <v>1</v>
      </c>
      <c r="I78">
        <v>50</v>
      </c>
      <c r="J78">
        <v>125000</v>
      </c>
      <c r="O78" s="2" t="str">
        <f t="shared" si="8"/>
        <v>AJD CB00224/22 M</v>
      </c>
      <c r="P78">
        <v>1</v>
      </c>
      <c r="R78">
        <f t="shared" si="9"/>
        <v>250000</v>
      </c>
      <c r="S78">
        <f t="shared" si="10"/>
        <v>0.5</v>
      </c>
    </row>
    <row r="79" spans="1:19">
      <c r="A79">
        <v>615852</v>
      </c>
      <c r="B79" t="s">
        <v>76</v>
      </c>
      <c r="C79" t="s">
        <v>14</v>
      </c>
      <c r="D79" t="s">
        <v>15</v>
      </c>
      <c r="E79" t="s">
        <v>16</v>
      </c>
      <c r="F79">
        <v>99134</v>
      </c>
      <c r="G79" t="s">
        <v>92</v>
      </c>
      <c r="H79">
        <v>1</v>
      </c>
      <c r="I79">
        <v>30</v>
      </c>
      <c r="J79">
        <v>251930</v>
      </c>
      <c r="O79" s="2" t="str">
        <f t="shared" si="8"/>
        <v>ATS CI00117/01 XL</v>
      </c>
      <c r="P79">
        <v>1</v>
      </c>
      <c r="R79">
        <f t="shared" si="9"/>
        <v>359900</v>
      </c>
      <c r="S79">
        <f t="shared" si="10"/>
        <v>0.3</v>
      </c>
    </row>
    <row r="80" spans="1:19">
      <c r="A80">
        <v>615872</v>
      </c>
      <c r="B80" t="s">
        <v>76</v>
      </c>
      <c r="C80" t="s">
        <v>14</v>
      </c>
      <c r="D80" t="s">
        <v>15</v>
      </c>
      <c r="E80" t="s">
        <v>16</v>
      </c>
      <c r="F80">
        <v>96409</v>
      </c>
      <c r="G80" t="s">
        <v>93</v>
      </c>
      <c r="H80">
        <v>1</v>
      </c>
      <c r="I80">
        <v>40</v>
      </c>
      <c r="J80">
        <v>149400</v>
      </c>
      <c r="N80" t="s">
        <v>94</v>
      </c>
      <c r="O80" s="2" t="str">
        <f t="shared" si="8"/>
        <v>CLN CX90132/01 XL</v>
      </c>
      <c r="P80">
        <v>1</v>
      </c>
      <c r="R80">
        <f t="shared" si="9"/>
        <v>249000</v>
      </c>
      <c r="S80">
        <f t="shared" si="10"/>
        <v>0.4</v>
      </c>
    </row>
    <row r="81" spans="1:19">
      <c r="A81">
        <v>615872</v>
      </c>
      <c r="B81" t="s">
        <v>76</v>
      </c>
      <c r="C81" t="s">
        <v>14</v>
      </c>
      <c r="D81" t="s">
        <v>15</v>
      </c>
      <c r="E81" t="s">
        <v>16</v>
      </c>
      <c r="F81">
        <v>101210</v>
      </c>
      <c r="G81" t="s">
        <v>95</v>
      </c>
      <c r="H81">
        <v>1</v>
      </c>
      <c r="I81">
        <v>70</v>
      </c>
      <c r="J81">
        <v>98700</v>
      </c>
      <c r="N81" t="s">
        <v>94</v>
      </c>
      <c r="O81" s="2" t="str">
        <f t="shared" si="8"/>
        <v>CLN CX00122/33 XL</v>
      </c>
      <c r="P81">
        <v>1</v>
      </c>
      <c r="R81">
        <f t="shared" si="9"/>
        <v>329000.00000000006</v>
      </c>
      <c r="S81">
        <f t="shared" si="10"/>
        <v>0.70000000000000007</v>
      </c>
    </row>
    <row r="82" spans="1:19">
      <c r="A82">
        <v>615883</v>
      </c>
      <c r="B82" t="s">
        <v>76</v>
      </c>
      <c r="C82" t="s">
        <v>14</v>
      </c>
      <c r="D82" t="s">
        <v>15</v>
      </c>
      <c r="E82" t="s">
        <v>16</v>
      </c>
      <c r="F82">
        <v>99253</v>
      </c>
      <c r="G82" t="s">
        <v>96</v>
      </c>
      <c r="H82">
        <v>1</v>
      </c>
      <c r="I82">
        <v>30</v>
      </c>
      <c r="J82">
        <v>279930</v>
      </c>
      <c r="O82" s="2" t="str">
        <f t="shared" si="8"/>
        <v>APJ CI00130/01 M</v>
      </c>
      <c r="P82">
        <v>1</v>
      </c>
      <c r="R82">
        <f t="shared" si="9"/>
        <v>399900</v>
      </c>
      <c r="S82">
        <f t="shared" si="10"/>
        <v>0.3</v>
      </c>
    </row>
    <row r="83" spans="1:19">
      <c r="A83">
        <v>615922</v>
      </c>
      <c r="B83" t="s">
        <v>76</v>
      </c>
      <c r="C83" t="s">
        <v>14</v>
      </c>
      <c r="D83" t="s">
        <v>15</v>
      </c>
      <c r="E83" t="s">
        <v>16</v>
      </c>
      <c r="F83">
        <v>96184</v>
      </c>
      <c r="G83" t="s">
        <v>97</v>
      </c>
      <c r="H83">
        <v>1</v>
      </c>
      <c r="I83">
        <v>30</v>
      </c>
      <c r="J83">
        <v>244930</v>
      </c>
      <c r="O83" s="2" t="str">
        <f t="shared" si="8"/>
        <v>CLN CI00104/06 M</v>
      </c>
      <c r="P83">
        <v>1</v>
      </c>
      <c r="R83">
        <f t="shared" si="9"/>
        <v>349900</v>
      </c>
      <c r="S83">
        <f t="shared" si="10"/>
        <v>0.3</v>
      </c>
    </row>
    <row r="84" spans="1:19">
      <c r="A84">
        <v>615922</v>
      </c>
      <c r="B84" t="s">
        <v>76</v>
      </c>
      <c r="C84" t="s">
        <v>14</v>
      </c>
      <c r="D84" t="s">
        <v>15</v>
      </c>
      <c r="E84" t="s">
        <v>16</v>
      </c>
      <c r="F84">
        <v>99655</v>
      </c>
      <c r="G84" t="s">
        <v>98</v>
      </c>
      <c r="H84">
        <v>1</v>
      </c>
      <c r="I84">
        <v>30</v>
      </c>
      <c r="J84">
        <v>209930</v>
      </c>
      <c r="O84" s="2" t="str">
        <f t="shared" si="8"/>
        <v>CLN CI00125/02 M</v>
      </c>
      <c r="P84">
        <v>1</v>
      </c>
      <c r="R84">
        <f t="shared" si="9"/>
        <v>299900</v>
      </c>
      <c r="S84">
        <f t="shared" si="10"/>
        <v>0.3</v>
      </c>
    </row>
    <row r="85" spans="1:19">
      <c r="A85">
        <v>615922</v>
      </c>
      <c r="B85" t="s">
        <v>76</v>
      </c>
      <c r="C85" t="s">
        <v>14</v>
      </c>
      <c r="D85" t="s">
        <v>15</v>
      </c>
      <c r="E85" t="s">
        <v>16</v>
      </c>
      <c r="F85">
        <v>100677</v>
      </c>
      <c r="G85" t="s">
        <v>99</v>
      </c>
      <c r="H85">
        <v>1</v>
      </c>
      <c r="I85">
        <v>20</v>
      </c>
      <c r="J85">
        <v>239920</v>
      </c>
      <c r="O85" s="2" t="str">
        <f t="shared" si="8"/>
        <v>AJD CA23025/11 M</v>
      </c>
      <c r="P85">
        <v>1</v>
      </c>
      <c r="R85">
        <f t="shared" si="9"/>
        <v>299900</v>
      </c>
      <c r="S85">
        <f t="shared" si="10"/>
        <v>0.2</v>
      </c>
    </row>
    <row r="86" spans="1:19">
      <c r="A86">
        <v>615922</v>
      </c>
      <c r="B86" t="s">
        <v>76</v>
      </c>
      <c r="C86" t="s">
        <v>14</v>
      </c>
      <c r="D86" t="s">
        <v>15</v>
      </c>
      <c r="E86" t="s">
        <v>16</v>
      </c>
      <c r="F86">
        <v>96216</v>
      </c>
      <c r="G86" t="s">
        <v>100</v>
      </c>
      <c r="H86">
        <v>1</v>
      </c>
      <c r="I86">
        <v>20</v>
      </c>
      <c r="J86">
        <v>239920</v>
      </c>
      <c r="O86" s="2" t="str">
        <f t="shared" si="8"/>
        <v>AJD CA23025/10 L</v>
      </c>
      <c r="P86">
        <v>1</v>
      </c>
      <c r="R86">
        <f t="shared" si="9"/>
        <v>299900</v>
      </c>
      <c r="S86">
        <f t="shared" si="10"/>
        <v>0.2</v>
      </c>
    </row>
    <row r="87" spans="1:19">
      <c r="A87">
        <v>615727</v>
      </c>
      <c r="B87" t="s">
        <v>76</v>
      </c>
      <c r="C87" t="s">
        <v>20</v>
      </c>
      <c r="D87" t="s">
        <v>15</v>
      </c>
      <c r="E87" t="s">
        <v>16</v>
      </c>
      <c r="F87">
        <v>77252</v>
      </c>
      <c r="G87" t="s">
        <v>101</v>
      </c>
      <c r="H87">
        <v>1</v>
      </c>
      <c r="I87">
        <v>20</v>
      </c>
      <c r="J87">
        <v>135200</v>
      </c>
      <c r="O87" s="2" t="str">
        <f t="shared" ref="O87:P91" si="11">G87</f>
        <v>HOOKSTRAP-01-BLACK</v>
      </c>
      <c r="P87">
        <f t="shared" si="11"/>
        <v>1</v>
      </c>
      <c r="R87">
        <f t="shared" si="9"/>
        <v>169000</v>
      </c>
      <c r="S87">
        <f t="shared" si="10"/>
        <v>0.2</v>
      </c>
    </row>
    <row r="88" spans="1:19">
      <c r="A88">
        <v>615762</v>
      </c>
      <c r="B88" t="s">
        <v>76</v>
      </c>
      <c r="C88" t="s">
        <v>20</v>
      </c>
      <c r="D88" t="s">
        <v>15</v>
      </c>
      <c r="E88" t="s">
        <v>16</v>
      </c>
      <c r="F88">
        <v>96093</v>
      </c>
      <c r="G88" t="s">
        <v>41</v>
      </c>
      <c r="H88">
        <v>1</v>
      </c>
      <c r="J88">
        <v>99000</v>
      </c>
      <c r="O88" s="2" t="str">
        <f t="shared" si="11"/>
        <v>SOCKS-04-BLACK</v>
      </c>
      <c r="P88">
        <f t="shared" si="11"/>
        <v>1</v>
      </c>
      <c r="R88">
        <f t="shared" si="9"/>
        <v>99000</v>
      </c>
      <c r="S88">
        <f t="shared" si="10"/>
        <v>0</v>
      </c>
    </row>
    <row r="89" spans="1:19">
      <c r="A89">
        <v>615851</v>
      </c>
      <c r="B89" t="s">
        <v>76</v>
      </c>
      <c r="C89" t="s">
        <v>20</v>
      </c>
      <c r="D89" t="s">
        <v>15</v>
      </c>
      <c r="E89" t="s">
        <v>16</v>
      </c>
      <c r="F89">
        <v>93845</v>
      </c>
      <c r="G89" t="s">
        <v>102</v>
      </c>
      <c r="H89">
        <v>1</v>
      </c>
      <c r="I89">
        <v>20</v>
      </c>
      <c r="J89">
        <v>199200</v>
      </c>
      <c r="O89" s="2" t="str">
        <f t="shared" si="11"/>
        <v>GLOVE-11-GOLD-S</v>
      </c>
      <c r="P89">
        <f t="shared" si="11"/>
        <v>1</v>
      </c>
      <c r="R89">
        <f t="shared" si="9"/>
        <v>249000</v>
      </c>
      <c r="S89">
        <f t="shared" si="10"/>
        <v>0.2</v>
      </c>
    </row>
    <row r="90" spans="1:19">
      <c r="A90">
        <v>615851</v>
      </c>
      <c r="B90" t="s">
        <v>76</v>
      </c>
      <c r="C90" t="s">
        <v>20</v>
      </c>
      <c r="D90" t="s">
        <v>15</v>
      </c>
      <c r="E90" t="s">
        <v>16</v>
      </c>
      <c r="F90">
        <v>98198</v>
      </c>
      <c r="G90" t="s">
        <v>103</v>
      </c>
      <c r="H90">
        <v>1</v>
      </c>
      <c r="J90">
        <v>169000</v>
      </c>
      <c r="O90" s="2" t="str">
        <f t="shared" si="11"/>
        <v>GLOVE-17-GREY-M</v>
      </c>
      <c r="P90">
        <f t="shared" si="11"/>
        <v>1</v>
      </c>
      <c r="R90">
        <f t="shared" si="9"/>
        <v>169000</v>
      </c>
      <c r="S90">
        <f t="shared" si="10"/>
        <v>0</v>
      </c>
    </row>
    <row r="91" spans="1:19">
      <c r="A91">
        <v>615851</v>
      </c>
      <c r="B91" t="s">
        <v>76</v>
      </c>
      <c r="C91" t="s">
        <v>20</v>
      </c>
      <c r="D91" t="s">
        <v>15</v>
      </c>
      <c r="E91" t="s">
        <v>16</v>
      </c>
      <c r="F91">
        <v>88661</v>
      </c>
      <c r="G91" t="s">
        <v>39</v>
      </c>
      <c r="H91">
        <v>1</v>
      </c>
      <c r="J91">
        <v>109000</v>
      </c>
      <c r="O91" s="2" t="str">
        <f t="shared" si="11"/>
        <v>GLOVE-01-BLACK-S</v>
      </c>
      <c r="P91">
        <f t="shared" si="11"/>
        <v>1</v>
      </c>
      <c r="R91">
        <f t="shared" si="9"/>
        <v>109000</v>
      </c>
      <c r="S91">
        <f t="shared" si="10"/>
        <v>0</v>
      </c>
    </row>
    <row r="92" spans="1:19">
      <c r="H92">
        <f>SUM(H62:H91)</f>
        <v>30</v>
      </c>
      <c r="J92">
        <f>SUM(J62:J91)</f>
        <v>6576590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Sheet2!sell_item_OFF_25_AGST_4363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</dc:creator>
  <cp:lastModifiedBy>Ch</cp:lastModifiedBy>
  <dcterms:created xsi:type="dcterms:W3CDTF">2026-08-28T01:32:40Z</dcterms:created>
  <dcterms:modified xsi:type="dcterms:W3CDTF">2026-08-28T01:34:50Z</dcterms:modified>
</cp:coreProperties>
</file>